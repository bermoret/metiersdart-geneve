
<file path=[Content_Types].xml><?xml version="1.0" encoding="utf-8"?>
<Types xmlns="http://schemas.openxmlformats.org/package/2006/content-types">
  <Default Extension="jpeg" ContentType="image/jpeg"/>
  <Default Extension="png" ContentType="image/png"/>
  <Default Extension="wdp" ContentType="image/wdp"/>
  <Default Extension="emf" ContentType="image/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25.xml" ContentType="application/vnd.openxmlformats-officedocument.spreadsheetml.worksheet+xml"/>
  <Override PartName="/xl/worksheets/sheet2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2.xml" ContentType="application/vnd.openxmlformats-officedocument.spreadsheetml.worksheet+xml"/>
  <Override PartName="/xl/worksheets/sheet16.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1.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vml" ContentType="application/vnd.openxmlformats-officedocument.vmlDrawing"/>
  <Override PartName="/xl/comments15.xml" ContentType="application/vnd.openxmlformats-officedocument.spreadsheetml.comment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00" windowWidth="22420" windowHeight="22800" activeTab="8"/>
  </bookViews>
  <sheets>
    <sheet sheetId="15" name="GLOBAL" state="visible" r:id="rId4"/>
    <sheet sheetId="5" name="Artisan·e·s" state="visible" r:id="rId5"/>
    <sheet sheetId="6" name="Cartographie artisans" state="visible" r:id="rId6"/>
    <sheet sheetId="25" name="Cartographie métiers" state="visible" r:id="rId7"/>
    <sheet sheetId="23" name="Entreprises formatrices" state="visible" r:id="rId8"/>
    <sheet sheetId="2" name="Métiers" state="visible" r:id="rId9"/>
    <sheet sheetId="26" name="Métiers v2" state="visible" r:id="rId10"/>
    <sheet sheetId="4" name="Événements" state="visible" r:id="rId11"/>
    <sheet sheetId="3" name="Communes" state="visible" r:id="rId12"/>
    <sheet sheetId="17" name="Écoles Formatrices" state="visible" r:id="rId13"/>
    <sheet sheetId="18" name="Institutions culturelles" state="visible" r:id="rId14"/>
    <sheet sheetId="22" name="Partenaire" state="visible" r:id="rId15"/>
    <sheet sheetId="16" name="METIERS&amp;FORMATIONS" state="visible" r:id="rId16"/>
    <sheet sheetId="19" name="INMA" state="visible" r:id="rId17"/>
    <sheet sheetId="20" name="ASMA" state="visible" r:id="rId18"/>
    <sheet sheetId="14" name="Capsules" state="visible" r:id="rId19"/>
    <sheet sheetId="7" name="Cartographie vidéo" state="visible" r:id="rId20"/>
    <sheet sheetId="1" name="RECAP" state="visible" r:id="rId21"/>
    <sheet sheetId="12" name="Mailing artisans" state="visible" r:id="rId22"/>
    <sheet sheetId="11" name="GLOBAL au 30.03.23" state="visible" r:id="rId23"/>
  </sheets>
  <definedNames>
    <definedName name="_xlnm.Print_Area" localSheetId="0">'GLOBAL'!$K17:$K38</definedName>
    <definedName name="_xlnm.Print_Titles" localSheetId="1">'Artisan·e·s'!$1:$63</definedName>
    <definedName name="_xlnm.Print_Area" localSheetId="3">'Cartographie métiers'!$A2:$N22</definedName>
    <definedName name="_xlnm.Print_Area" localSheetId="4">'Entreprises formatrices'!$A4:$G75</definedName>
    <definedName name="_xlnm.Print_Titles" localSheetId="4">'Entreprises formatrices'!$1:$16</definedName>
    <definedName name="_xlnm.Print_Area" localSheetId="6">'Métiers v2'!$A46:$E66</definedName>
    <definedName name="_xlnm.Print_Titles" localSheetId="6">'Métiers v2'!$3:$5</definedName>
    <definedName name="_xlnm.Print_Area" localSheetId="8">'Communes'!$D7:$E51</definedName>
    <definedName name="_xlnm.Print_Area" localSheetId="10">'Institutions culturelles'!$D1:$I28</definedName>
    <definedName name="_xlnm.Print_Area" localSheetId="16">'Cartographie vidéo'!$A1:$O20</definedName>
  </definedNames>
  <calcPr calcId="171027" fullCalcOnLoad="1"/>
</workbook>
</file>

<file path=xl/comments1.xml><?xml version="1.0" encoding="utf-8"?>
<comments xmlns="http://schemas.openxmlformats.org/spreadsheetml/2006/main">
  <authors>
    <author>Author</author>
  </authors>
  <commentList>
    <comment ref="D22" authorId="0">
      <text/>
    </comment>
    <comment ref="G22" authorId="0">
      <text/>
    </comment>
  </commentList>
</comments>
</file>

<file path=xl/comments15.xml><?xml version="1.0" encoding="utf-8"?>
<comments xmlns="http://schemas.openxmlformats.org/spreadsheetml/2006/main">
  <authors>
    <author>Author</author>
  </authors>
  <commentList>
    <comment ref="A135" authorId="0">
      <text/>
    </comment>
    <comment ref="A136" authorId="0">
      <text/>
    </comment>
    <comment ref="A137" authorId="0">
      <text/>
    </comment>
    <comment ref="A138" authorId="0">
      <text/>
    </comment>
    <comment ref="A139" authorId="0">
      <text/>
    </comment>
    <comment ref="A140" authorId="0">
      <text/>
    </comment>
  </commentList>
</comments>
</file>

<file path=xl/sharedStrings.xml><?xml version="1.0" encoding="utf-8"?>
<sst xmlns="http://schemas.openxmlformats.org/spreadsheetml/2006/main" count="1918" uniqueCount="1017">
  <si>
    <t>Dernière MàJ : 01.09.26</t>
  </si>
  <si>
    <t>Caisse AVS</t>
  </si>
  <si>
    <t>A</t>
  </si>
  <si>
    <t>B</t>
  </si>
  <si>
    <t>E</t>
  </si>
  <si>
    <t>Abajouriste</t>
  </si>
  <si>
    <t>Event a comptabiliser qu'à la fin du projet</t>
  </si>
  <si>
    <t>Aire-la-Ville</t>
  </si>
  <si>
    <t>CFPT</t>
  </si>
  <si>
    <t>Association pour le patrimoine industriel (API)</t>
  </si>
  <si>
    <t>Abatjouriste</t>
  </si>
  <si>
    <t>MBG (04.12.25)</t>
  </si>
  <si>
    <t>Office pour l'orientation, la formation professionnelle et continue - OFPC</t>
  </si>
  <si>
    <t>Bijoutier</t>
  </si>
  <si>
    <t>POINTMAG</t>
  </si>
  <si>
    <t>Bardonnex</t>
  </si>
  <si>
    <t>Campus</t>
  </si>
  <si>
    <t>Atelier Genevois de Gravure Contemporaine</t>
  </si>
  <si>
    <t>Bijoutier·ère</t>
  </si>
  <si>
    <t>Métiers d'Art Genève - MAG</t>
  </si>
  <si>
    <t>Union des fabricants d'horlogerie de Genève, Vaud et Valais - UFGVV</t>
  </si>
  <si>
    <t>Bottier</t>
  </si>
  <si>
    <t>MANUFACTO</t>
  </si>
  <si>
    <t>Bellevue</t>
  </si>
  <si>
    <t>CFPArts</t>
  </si>
  <si>
    <t>Conservatoire et Jardin Botanique de Genève</t>
  </si>
  <si>
    <t>Bois</t>
  </si>
  <si>
    <t>Parcours des Ateliers Carougeois - PAC</t>
  </si>
  <si>
    <t>Office du patrimoine et des sites - OPS</t>
  </si>
  <si>
    <t>a</t>
  </si>
  <si>
    <t>Brodeur</t>
  </si>
  <si>
    <t>ÉCOLE &amp; ARTISANS</t>
  </si>
  <si>
    <t>Bernex</t>
  </si>
  <si>
    <t>CFPC</t>
  </si>
  <si>
    <t>Fondation Baur</t>
  </si>
  <si>
    <t>Calligraphe</t>
  </si>
  <si>
    <t>Label Genève</t>
  </si>
  <si>
    <t>b</t>
  </si>
  <si>
    <t>Référent métiers 2026</t>
  </si>
  <si>
    <t>Carouge</t>
  </si>
  <si>
    <t>CFPNe</t>
  </si>
  <si>
    <t>Fondation Martin Bodmer</t>
  </si>
  <si>
    <t>Charpentier</t>
  </si>
  <si>
    <t>ASMEBI</t>
  </si>
  <si>
    <t>c</t>
  </si>
  <si>
    <t>Céramiste</t>
  </si>
  <si>
    <t>JEMA26</t>
  </si>
  <si>
    <t>Chêne-Bourg</t>
  </si>
  <si>
    <t>HEAD</t>
  </si>
  <si>
    <t>Comédie de Genève</t>
  </si>
  <si>
    <t>Conservatrice-restauratrice MAH</t>
  </si>
  <si>
    <t>ARMP -  Association Romande des Métiers de la Pierre</t>
  </si>
  <si>
    <t>Chaîniste</t>
  </si>
  <si>
    <t>CdM 2025</t>
  </si>
  <si>
    <t>Dardagny</t>
  </si>
  <si>
    <t>Grand Théâtre de Genève</t>
  </si>
  <si>
    <t>Conservatrice-restauratrice de tableaux</t>
  </si>
  <si>
    <t>d</t>
  </si>
  <si>
    <t>Poinçons MAG</t>
  </si>
  <si>
    <t>Genève</t>
  </si>
  <si>
    <t>Théâtre de Carouge</t>
  </si>
  <si>
    <t>Cordonnier</t>
  </si>
  <si>
    <t>e</t>
  </si>
  <si>
    <t>Conservateur-restaurateur d'œuvres d'art</t>
  </si>
  <si>
    <t>Jussy</t>
  </si>
  <si>
    <t>BGE (La Musicale)</t>
  </si>
  <si>
    <t>Costumier.ière et accessoiriste costumes</t>
  </si>
  <si>
    <t>f</t>
  </si>
  <si>
    <t>Constructeur métallique</t>
  </si>
  <si>
    <t>Lancy</t>
  </si>
  <si>
    <t xml:space="preserve">MAH </t>
  </si>
  <si>
    <t>Coutelier</t>
  </si>
  <si>
    <t>g</t>
  </si>
  <si>
    <t>Référent métiers 2025</t>
  </si>
  <si>
    <t>Meinier</t>
  </si>
  <si>
    <t>Musée Ariana</t>
  </si>
  <si>
    <t>Couturière</t>
  </si>
  <si>
    <t>h</t>
  </si>
  <si>
    <t>Costumier.ière</t>
  </si>
  <si>
    <t>JEMA25</t>
  </si>
  <si>
    <t>Meyrin</t>
  </si>
  <si>
    <t>Musée d'Histoire Naturelle</t>
  </si>
  <si>
    <t>Découpeuse sur papier</t>
  </si>
  <si>
    <t>i</t>
  </si>
  <si>
    <t>Courtepointier·ère</t>
  </si>
  <si>
    <t>PointMAG 2024</t>
  </si>
  <si>
    <t>Perly</t>
  </si>
  <si>
    <t>MEG</t>
  </si>
  <si>
    <t>Émailleur</t>
  </si>
  <si>
    <t>j</t>
  </si>
  <si>
    <t>JEMA2024</t>
  </si>
  <si>
    <t>Plan-les-Ouates</t>
  </si>
  <si>
    <t>Collection des Moulages</t>
  </si>
  <si>
    <t>Encadreur</t>
  </si>
  <si>
    <t>k</t>
  </si>
  <si>
    <t>Couturier</t>
  </si>
  <si>
    <t>Pregny-Chambésy</t>
  </si>
  <si>
    <t>Musée International de la Réforme</t>
  </si>
  <si>
    <t>Encadreuse d'art</t>
  </si>
  <si>
    <t>Décorateur-accessoiriste de costumes</t>
  </si>
  <si>
    <t>PointMAG 2023</t>
  </si>
  <si>
    <t>Presinge</t>
  </si>
  <si>
    <t>Ateliers de décors de théâtre</t>
  </si>
  <si>
    <t>Fabricante de compositions et décors végétaux stables et durables</t>
  </si>
  <si>
    <t>l</t>
  </si>
  <si>
    <t>Découpeur.euse sur papier</t>
  </si>
  <si>
    <t>JEMA 2023</t>
  </si>
  <si>
    <t>Puplinge</t>
  </si>
  <si>
    <t>Facteur de pianos</t>
  </si>
  <si>
    <t>m</t>
  </si>
  <si>
    <t>Doreur</t>
  </si>
  <si>
    <t>CdM 2022</t>
  </si>
  <si>
    <t>Satigny</t>
  </si>
  <si>
    <t>Ferblantier</t>
  </si>
  <si>
    <t>n</t>
  </si>
  <si>
    <t>Ébéniste</t>
  </si>
  <si>
    <t>JEMA 2022</t>
  </si>
  <si>
    <t>Vandoeuvres</t>
  </si>
  <si>
    <t>Feutrière (JEMA 2026)</t>
  </si>
  <si>
    <t>AUTOUR DU TEMPS 2021</t>
  </si>
  <si>
    <t>Vernier</t>
  </si>
  <si>
    <t>Fleuriste</t>
  </si>
  <si>
    <t>o</t>
  </si>
  <si>
    <t>JEP 2021</t>
  </si>
  <si>
    <t>Veyrier</t>
  </si>
  <si>
    <t>Graveuse taille-douce</t>
  </si>
  <si>
    <t>p</t>
  </si>
  <si>
    <t>Fabricant·e de décors de spectacle</t>
  </si>
  <si>
    <t>JEMA 2021</t>
  </si>
  <si>
    <t>Horloger</t>
  </si>
  <si>
    <t>q</t>
  </si>
  <si>
    <t>Fabricante d'objets en textiles</t>
  </si>
  <si>
    <t>Concours Toile urbaine 2021</t>
  </si>
  <si>
    <t>Imprimeur sur presses anciennes</t>
  </si>
  <si>
    <t>r</t>
  </si>
  <si>
    <t>Luthier en guitarre</t>
  </si>
  <si>
    <t>s</t>
  </si>
  <si>
    <t>Ferblantier ornemaniste</t>
  </si>
  <si>
    <t>Maître chemisier</t>
  </si>
  <si>
    <t>t</t>
  </si>
  <si>
    <t>Ferronnier</t>
  </si>
  <si>
    <t>Maquettiste</t>
  </si>
  <si>
    <t>u</t>
  </si>
  <si>
    <t>Feutrier</t>
  </si>
  <si>
    <t>Maroquinier</t>
  </si>
  <si>
    <t>Métiers de la pierre</t>
  </si>
  <si>
    <t>v</t>
  </si>
  <si>
    <t>Restauratrice d'œuvres peintes</t>
  </si>
  <si>
    <t>Oculariste</t>
  </si>
  <si>
    <t>w</t>
  </si>
  <si>
    <t>Gainier</t>
  </si>
  <si>
    <t>Peintre décorateur</t>
  </si>
  <si>
    <t>x</t>
  </si>
  <si>
    <t>Graveur</t>
  </si>
  <si>
    <t>Relieuse</t>
  </si>
  <si>
    <t>y</t>
  </si>
  <si>
    <t>Sculpteur sur bois</t>
  </si>
  <si>
    <t>Sellière</t>
  </si>
  <si>
    <t>z</t>
  </si>
  <si>
    <t>Joaillier</t>
  </si>
  <si>
    <t>Staffeur</t>
  </si>
  <si>
    <t>Lustrier</t>
  </si>
  <si>
    <t>Tailleur de pierre</t>
  </si>
  <si>
    <t>Luthier</t>
  </si>
  <si>
    <t>Technicienne en conservation d'art</t>
  </si>
  <si>
    <t>Tisserande</t>
  </si>
  <si>
    <t>Marbrier</t>
  </si>
  <si>
    <t>Typographe</t>
  </si>
  <si>
    <t>Céramiste (supprimer 28.03.26, fermeture arcade)</t>
  </si>
  <si>
    <t>Menuisier</t>
  </si>
  <si>
    <t>Modiste</t>
  </si>
  <si>
    <t>Parqueteur</t>
  </si>
  <si>
    <t>Peintre en décor du patrimoine</t>
  </si>
  <si>
    <t>Peintre en lettre</t>
  </si>
  <si>
    <t>Préparateur d'herbier</t>
  </si>
  <si>
    <t>Relieur</t>
  </si>
  <si>
    <t>Restaurateur d'art</t>
  </si>
  <si>
    <t>Restaurateur de meubles anciens</t>
  </si>
  <si>
    <t>Restaurateur de documents graphiques et imprimés</t>
  </si>
  <si>
    <t>Restaurateur de livres</t>
  </si>
  <si>
    <t>Scénographe</t>
  </si>
  <si>
    <t>Sculpteur ornemaniste</t>
  </si>
  <si>
    <t>Sculpteur sur pierre</t>
  </si>
  <si>
    <t>Sellier</t>
  </si>
  <si>
    <t>Boutique ?</t>
  </si>
  <si>
    <t>Sérigraphe</t>
  </si>
  <si>
    <t>Sertisseur</t>
  </si>
  <si>
    <t>Staffeur-stucateur</t>
  </si>
  <si>
    <t>Tailleur</t>
  </si>
  <si>
    <t>Tapissier</t>
  </si>
  <si>
    <t>Taxidermiste</t>
  </si>
  <si>
    <t>Technicien.ne en conservation d'art</t>
  </si>
  <si>
    <t>Teinturier·ière</t>
  </si>
  <si>
    <t>Tourneur sur bois</t>
  </si>
  <si>
    <t>Verrier décorateur</t>
  </si>
  <si>
    <t>Fondeur</t>
  </si>
  <si>
    <t>Liste des artisans MAG</t>
  </si>
  <si>
    <t>Dernière MàJ :  01.09.26</t>
  </si>
  <si>
    <t>Commune</t>
  </si>
  <si>
    <t>DATE INTÉGRATION</t>
  </si>
  <si>
    <t>DOMAINE</t>
  </si>
  <si>
    <t>METIER</t>
  </si>
  <si>
    <t>NOM</t>
  </si>
  <si>
    <t>PRÉNOM</t>
  </si>
  <si>
    <t>RAISON SOCIALE</t>
  </si>
  <si>
    <t>TÉLÉPHONE</t>
  </si>
  <si>
    <t>MAIL</t>
  </si>
  <si>
    <t>ADRESSE</t>
  </si>
  <si>
    <t>COMMENTAIRES</t>
  </si>
  <si>
    <t>ENTREPRISE FORMATRICE</t>
  </si>
  <si>
    <t>ARTISAN·E·S PAR DOMAINE</t>
  </si>
  <si>
    <t>ART DE L'HORLOGERIE ET DE LA BIJOUTERIE</t>
  </si>
  <si>
    <t>ART DE LA CONSERVATION ET DE LA RESTAURATION</t>
  </si>
  <si>
    <t>ART DE LA FACTURE INSTRUMENTALE</t>
  </si>
  <si>
    <t>ART DE LA PIERRE</t>
  </si>
  <si>
    <t>ART DE LA TERRE</t>
  </si>
  <si>
    <t>ART DU BOIS</t>
  </si>
  <si>
    <t>ART DU CUIR</t>
  </si>
  <si>
    <t>ART DU METAL</t>
  </si>
  <si>
    <t>ART DU PAPIER</t>
  </si>
  <si>
    <t>ART DU TEXTILE</t>
  </si>
  <si>
    <t>ART DU VERRE</t>
  </si>
  <si>
    <t>ARTS APPLIQUES</t>
  </si>
  <si>
    <t>MÉTIERS PAR DOMAINE</t>
  </si>
  <si>
    <t>Liste des entreprises formatrices MAG</t>
  </si>
  <si>
    <t>Dernière MàJ : 08.11.24</t>
  </si>
  <si>
    <t>OUI/NON</t>
  </si>
  <si>
    <t>Liste des métiers</t>
  </si>
  <si>
    <t>Date d'intégration</t>
  </si>
  <si>
    <t>Dernière MàJ : 16.02.2026</t>
  </si>
  <si>
    <t>15.11.25:  49 métiers avant mise à jour et travail de réconciliation</t>
  </si>
  <si>
    <t>métiers ajoutés sur page métiers &amp; formations</t>
  </si>
  <si>
    <t>Liste des métiers sur page "métiers MAG"</t>
  </si>
  <si>
    <t>Liste des métiers sur page "répertoire MAG"</t>
  </si>
  <si>
    <t>Sur MAG métiers - nom INMA</t>
  </si>
  <si>
    <t>Commentaire</t>
  </si>
  <si>
    <t>Sur répertoire</t>
  </si>
  <si>
    <t>Bijoutier.ière</t>
  </si>
  <si>
    <t>Nouveau</t>
  </si>
  <si>
    <t>Bottier.ière</t>
  </si>
  <si>
    <t>08.12.25 SM : Sur INMA dénomination "bottier main", est-ce que je mets à jour ?</t>
  </si>
  <si>
    <t>Brodeur.euse</t>
  </si>
  <si>
    <t>08.12.25 SM : Sur INMA dénomination : Brodeur / Brodeur à l’aiguille /Brodeur crochet (Lunéville) / Brodeur sur machine guidée</t>
  </si>
  <si>
    <t>08.12.25 SM : RàS</t>
  </si>
  <si>
    <t>Chapelier.ère</t>
  </si>
  <si>
    <t>ajouté le 12.12.25</t>
  </si>
  <si>
    <r>
      <t xml:space="preserve">08.12.25 SM : formation pour recherche "modiste" : https://www.orientation.ch/dyn/show/1900?lang=fr&amp;idx=30&amp;id=1564
https://www.orientation.ch/dyn/show/1900?lang=fr&amp;idx=30&amp;id=1038
</t>
    </r>
    <r>
      <rPr>
        <b/>
        <color theme="1"/>
        <sz val="14"/>
        <rFont val="Simplon Norm"/>
      </rPr>
      <t xml:space="preserve">Définition INMA </t>
    </r>
    <r>
      <rPr>
        <color theme="1"/>
        <sz val="14"/>
        <rFont val="Simplon Norm"/>
      </rPr>
      <t>: "Le chapelier réalise des chapeaux en une seule pièce sur des formes en bois ou en aluminium, par l’assemblage de tresses sur des machines chaînette, ou par l’assemblage des pièces de tissu sur des piqueuses plates."</t>
    </r>
  </si>
  <si>
    <t>Charpentier.ière</t>
  </si>
  <si>
    <t>Charpentier.ère</t>
  </si>
  <si>
    <t>Conservateur.trice-restaurateur-trice d'oeuvres d'art</t>
  </si>
  <si>
    <t xml:space="preserve">_Conservateur.trice-restaurateur.trice d’art
_* Conservateur.trice-restaurateur.trice (j'ai rassemblé ces deux métiers sur une même case, case même formation)</t>
  </si>
  <si>
    <t xml:space="preserve">08.12.25 SM : l'INMA dit :"À ce jour, il n’existe pas d’appellation protégée pour ces métiers."
INMA propose les métiers suivants : Restaurateur de céramiques / Restaurateur de cuirs / Restaurateur de documents graphiques et imprimés / Restaurateur de métal / Restaurateur de meubles / Restaurateur de mosaïques / Restaurateur de peintures / Restaurateur de photographies / Restaurateur de sculptures / Restaurateur de textiles / Restaurateur de verre et de cristal / Restaurateur de vitraux / Restaurateur d’objets scientifiques, techniques, industriels</t>
  </si>
  <si>
    <t>09.06.26 : prendre une décision si ne pas inclure</t>
  </si>
  <si>
    <t>Cirière</t>
  </si>
  <si>
    <r>
      <t>08.12.25 SM : Aucune formation trouvée. INMA dit : "</t>
    </r>
    <r>
      <rPr>
        <b/>
        <color theme="1"/>
        <sz val="12"/>
        <rFont val="Simplon Norm"/>
      </rPr>
      <t>Formation initiale</t>
    </r>
    <r>
      <rPr>
        <color theme="1"/>
        <sz val="12"/>
        <rFont val="Simplon Norm"/>
      </rPr>
      <t xml:space="preserve"> : Il n’existe aucune formation initiale préparant au métier de cirier. La transmission du savoir-faire s’effectue par les artisans ciriers eux-mêmes au sein de leurs ateliers.
</t>
    </r>
    <r>
      <rPr>
        <b/>
        <color theme="1"/>
        <sz val="12"/>
        <rFont val="Simplon Norm"/>
      </rPr>
      <t xml:space="preserve">Formation professionnelle continue </t>
    </r>
    <r>
      <rPr>
        <color theme="1"/>
        <sz val="12"/>
        <rFont val="Simplon Norm"/>
      </rPr>
      <t xml:space="preserve">: Certains professionnels proposent des stages d’initiation à la fabrication de bougies."
</t>
    </r>
    <r>
      <rPr>
        <b/>
        <color theme="1"/>
        <sz val="12"/>
        <rFont val="Simplon Norm"/>
      </rPr>
      <t xml:space="preserve">Définition INMA </t>
    </r>
    <r>
      <rPr>
        <color theme="1"/>
        <sz val="12"/>
        <rFont val="Simplon Norm"/>
      </rPr>
      <t>: "Le cirier travaille un mélange de cire animale (cire d’abeille), minérale (paraffine) et végétale. La cire fondue est teintée dans la masse. La forme droite ou conique de la bougie dépend de la technique employée pour déposer la cire sur la mèche, « à la louche » ou « à la plongée ."</t>
    </r>
  </si>
  <si>
    <t>Constructeur.trice métallique</t>
  </si>
  <si>
    <t>15.12.25 SM : RàS</t>
  </si>
  <si>
    <t>Cordonnier.ière</t>
  </si>
  <si>
    <t>08.01.26 : pas métier d'art mais bottier main oui</t>
  </si>
  <si>
    <t xml:space="preserve">08.01.26 : pas métier d'art mais bottier main oui
ajouté le 09.06.26</t>
  </si>
  <si>
    <t>ajouté le 05.12.2025</t>
  </si>
  <si>
    <t>Coutelier.ière</t>
  </si>
  <si>
    <t xml:space="preserve">05.12.25 : Ajout de ce métier dans la page Métier (existait déjà dans le répertoire)
15.12.25 SM : RàS</t>
  </si>
  <si>
    <t>Coutelier d'art</t>
  </si>
  <si>
    <t xml:space="preserve">Couturier.ière
Créateur·trice de vêtements</t>
  </si>
  <si>
    <t xml:space="preserve">05.12.25 : OK D'EME. Ajout de créateur·trice de vêtements sous le métier couture, + chez CFPArts
15.12.25 SM : RàS</t>
  </si>
  <si>
    <t xml:space="preserve">Couturière
Créateur·trice de vêtements </t>
  </si>
  <si>
    <t xml:space="preserve">05.12.25 : en accord avec Elsa. Ajout de créateur·trice de vêtements sous le métier couture, ainsi que dans le CFPArts
15.12.25 SM : RàS</t>
  </si>
  <si>
    <t>Décorateur sur mouvement horloger</t>
  </si>
  <si>
    <t>Ajouter le 16.06.26</t>
  </si>
  <si>
    <t xml:space="preserve">15.12.25 : Sur orientation.ch : Designer d'objets horlogers : https://www.orientation.ch/dyn/show/2886?id=31595
Horloger / Horlogère : https://www.orientation.ch/dyn/show/2886?lang=fr&amp;idx=30&amp;id=31183
Problème : ce métier n'est pas dans INMA. Mais sur la fiche artisan de stéphane GRECO. Sur son site il est plus horloger que décorateur sur...</t>
  </si>
  <si>
    <t>Décorateur.trice-accessoiriste de costumes</t>
  </si>
  <si>
    <t>Décorateur.trice et accessoiriste costumes</t>
  </si>
  <si>
    <t>Doreur.euse</t>
  </si>
  <si>
    <t xml:space="preserve">Doreur·euse </t>
  </si>
  <si>
    <t>Ebéniste</t>
  </si>
  <si>
    <t>Ebeniste</t>
  </si>
  <si>
    <t xml:space="preserve">Émailleur·euse </t>
  </si>
  <si>
    <r>
      <t xml:space="preserve">⚠️il existe 4 types d'emailleurs sur INMA(sur </t>
    </r>
    <r>
      <rPr>
        <b/>
        <color theme="1"/>
        <sz val="12"/>
        <rFont val="Simplon Norm"/>
      </rPr>
      <t>cadrans</t>
    </r>
    <r>
      <rPr>
        <color theme="1"/>
        <sz val="12"/>
        <rFont val="Simplon Norm"/>
      </rPr>
      <t xml:space="preserve">, sur lave, sur métal, sur terre)
</t>
    </r>
    <r>
      <rPr>
        <b/>
        <color theme="1"/>
        <sz val="12"/>
        <rFont val="Simplon Norm"/>
      </rPr>
      <t xml:space="preserve">Prendre la bonne définition
</t>
    </r>
    <r>
      <rPr>
        <color theme="1"/>
        <sz val="12"/>
        <rFont val="Simplon Norm"/>
      </rPr>
      <t xml:space="preserve">Pour orner montres et pièces d’horlogerie, l’émailleur sur cadrans choisit les techniques du champlevé, du cloisonné ou de la peinture. Mélangée à de l’eau, la poudre d’émail est appliquée au pinceau ou à la spatule. Plusieurs cuissons révèlent les couleurs.
Emailleur - émailleuse, domaine horlogerie/joaillerie : https://www.orientation.ch/dyn/show/2886?lang=fr&amp;idx=30&amp;id=74252</t>
    </r>
  </si>
  <si>
    <t>Encadreur.euse</t>
  </si>
  <si>
    <t xml:space="preserve">Encadreur.euse / Encadreur·euse d'art </t>
  </si>
  <si>
    <t>Fabricant·e d'abat-jour</t>
  </si>
  <si>
    <t>ajouté le 21.11.25</t>
  </si>
  <si>
    <t>Fabricant·e d'abat-jour (anciennement Abatjouriste)</t>
  </si>
  <si>
    <t>21.11.25 : métier ajouter sur MAG "fabricant·e" d'abat-jour"</t>
  </si>
  <si>
    <t>ajouté le 21.01.26</t>
  </si>
  <si>
    <t xml:space="preserve">21.01.26 SM : ok ajouté
19.01.26 SM : sur orientation.ch menuisier/ière : https://www.orientation.ch/dyn/show/2886?lang=fr&amp;idx=30&amp;id=31191 ou scénographe : https://www.orientation.ch/dyn/show/1900?id=606
Définition INMA : "Le fabricant de décors de spectacle maîtrise les techniques du dessin, de la couleur, du volume, de
la perspective, de l’architecture. Il réalise une maquette plane, puis en volume. Il assure le suivi technique de la construction et supervise le montage des décors."</t>
  </si>
  <si>
    <t xml:space="preserve">Fabricante de compositions et décors végétaux stables et durables </t>
  </si>
  <si>
    <t>Fabricante d’objets en textiles</t>
  </si>
  <si>
    <t xml:space="preserve">21.01.26 SM : ok ajouté
19.01.26 SM : sur orientation.ch : Artisan du cuir et du textile CFC https://www.orientation.ch/dyn/show/1900?id=1495 ou Créateur de tissu CFC https://www.orientation.ch/dyn/show/1900?id=264
Définition INMA : "Le fabricant d’objets en textiles conçoit et réalise des sculpturestextile en utilisant principalement
des matières naturelles comme la laine, la soie ou le coton. Il fait appel à différents savoir-faire : tricot, broderie, couture, vannerie ou feutrage."</t>
  </si>
  <si>
    <t>Facteur.trice de pianos</t>
  </si>
  <si>
    <t>05.12.25 : Changement du nom "artisan·e fleuriste" pour "Fabricante de compositions et décors végétaux stables et durables"</t>
  </si>
  <si>
    <t>Ferblantier.ière ornemaniste</t>
  </si>
  <si>
    <t>Ferronier·ière</t>
  </si>
  <si>
    <t>ajouté le 08.01.26</t>
  </si>
  <si>
    <t xml:space="preserve">Ferronnieri·ère </t>
  </si>
  <si>
    <t xml:space="preserve">08.01.26 SM : pas de formation ferronier sur orientation.ch mais le plus proche est constructeur métallique (https://www.orientation.ch/dyn/show/1900?id=57)
Définition INMA ferronier : "Le ferronnier-forgeron met en forme le fer à chaud par forgeage, c’est-à-dire le battage du métal au marteau sur une enclume. Il réalise des ouvrages de grande taille comme des grilles, des garde-corps, des rampes d’escalier... mais aussi de petits objets décoratifs ou du mobilier. L’ouvrage terminé peut être poli, peint, patiné ou laissé brut."</t>
  </si>
  <si>
    <t>Feutrier.ière</t>
  </si>
  <si>
    <t>Fondeur, fondeuse (d'art)</t>
  </si>
  <si>
    <t>Fondeur / Fondeur d'art</t>
  </si>
  <si>
    <t xml:space="preserve">08.01.26 SM : sur orientation.ch Mouleur de fonderie CFC / Mouleuse de fonderie CFC (https://www.orientation.ch/dyn/show/1900?lang=fr&amp;idx=30&amp;id=202) et Fondeur d'art / Fondeuse d'art (https://www.orientation.ch/dyn/show/1900?lang=fr&amp;idx=30&amp;id=649)
Définition INMA : Pour réaliser une sculpture ou un objet, le fondeur peut choisir la fonte au sable ou à la cire perdue.
Il fabrique un moule dans lequel est coulé le métal en fusion (fonte, acier, aluminium, bronze, argent ou or). Pour les petites dimensions, il pratique la fonte au plâtre réfractaire grâce à un moule réutilisable en élastomère.</t>
  </si>
  <si>
    <t>Gainier.ière</t>
  </si>
  <si>
    <t>Graveur.euse</t>
  </si>
  <si>
    <t>Graveur·euse</t>
  </si>
  <si>
    <t>Graveuse sur bois</t>
  </si>
  <si>
    <t>Ajouter 16.06.26</t>
  </si>
  <si>
    <t xml:space="preserve">16.06.26 : orientation.ch : Sculpteur sur bois CFC / Sculptrice sur bois CFC https://www.orientation.ch/dyn/show/1900?id=245
Définition INMA : pas de métier INMA…
17.06.26 : ajouter la définition de cidj.com car pas d'équivalence INMA ni orientation.ch</t>
  </si>
  <si>
    <r>
      <rPr>
        <b/>
        <color theme="1"/>
        <family val="2"/>
        <scheme val="minor"/>
        <sz val="12"/>
        <rFont val="Calibri"/>
      </rPr>
      <t>| Votre activité principale|Métier INMA le plus proche |</t>
    </r>
    <r>
      <rPr>
        <color theme="1"/>
        <family val="2"/>
        <scheme val="minor"/>
        <sz val="12"/>
        <rFont val="Calibri"/>
      </rPr>
      <t xml:space="preserve">
| Gravure décorative sur mobilier, panneaux, objets en bois | Sculpteur sur bois|
| Réalisation de matrices de gravure (xylographie, estampes) | Graveur d'art|
| Décor gravé sur objets de tabletterie (bois précieux, tournage, petits objets) | Tabletier|
| Décor de marqueterie gravée ou incrustée| Marqueteur |
| Sculpture ornementale en relief sur bois | Sculpteur ornemaniste|</t>
    </r>
  </si>
  <si>
    <t xml:space="preserve">21.01.26 SM : ok ajouté
19.01.26 SM : Ce métier est une des spécialité de l'imprimeur (Il utilise plusieurs techniques dont l’héliogravure, la lithographie, la sérigraphie, la taille-douce et la typographie.)
Il faudrait donc dire imprimeur taille douce et rajouter la définition suivante de l'INMA : "* Le graveur en taille-douce utilise le burin, la pointe sèche ou l’acide pour graver une plaque de métal, le plus souvent du cuivre. Les incisions sont ensuite encrées à la main ou au tampon. La matrice et le papier humide sont passés sous presse par l’imprimeur en taille-douce."
Orientation.ch : Gravure / sérigraphie / typographie - cours et stages https://www.orientation.ch/dyn/show/2886?id=16478
Graveur CFC / Graveuse CFC : https://www.orientation.ch/dyn/show/1900?id=139</t>
  </si>
  <si>
    <t>Horloger.ère</t>
  </si>
  <si>
    <t xml:space="preserve">Imprimeur.euse
&gt;sérigraphe
&gt;typographe
&gt;presse ancienne (pas encore ajouté. Trouver def)</t>
  </si>
  <si>
    <t xml:space="preserve">Définition INMA : L’imprimeur compose et édite différentes œuvres tout en s’assurant de la qualité et de la conformité du travail par rapport aux exigences du client. Il utilise plusieurs techniques dont l’héliogravure, la lithographie, la sérigraphie, la taille-douce et la typographie.
Orientation.ch : Technologue en médias CFC https://www.orientation.ch/dyn/show/1900?id=148</t>
  </si>
  <si>
    <t>Joaillier.ière</t>
  </si>
  <si>
    <t>RAS SM 09.06.26</t>
  </si>
  <si>
    <t>Joaillier.ère</t>
  </si>
  <si>
    <t>Lustrier.ière</t>
  </si>
  <si>
    <t xml:space="preserve">Luthier.ière
&gt; en guitare
&gt; du quatuor</t>
  </si>
  <si>
    <t>Luthier en guitare</t>
  </si>
  <si>
    <t xml:space="preserve">Proposer de mettre dans la même catégorie :
Luthier
&gt; Luthier en guitare : fabrique, répare et restaure des guitares acoustiques, électriques et des basses. Pour la réalisation de l’instrument, il choisit les bois de résonance (épicéa, cèdre…) et de tonalité (palissandre, acajou…) qui vont déterminer la couleur sonore de l’instrument. INMA
&gt; Luthier du quatuor : il.elle créeet restaure violons, altos, violoncelles,contrebasses, violes de gambe. À l’aidede rabots, de gouges et de canifs, iltravaille le bois d’érable pour la tête,le fond, les éclisses et le chevalet ;l’épicéa pour la table d’harmonieet l’âme ; l’ébène pour la touche etl’ébène, le palissandre, le buis pour leschevilles, cordiers et mentonnières. Il utilise du vernis pour la finition. INMA
Formation de luthier sur orientation.ch</t>
  </si>
  <si>
    <t>Ajouté le 12.06.26</t>
  </si>
  <si>
    <t>Maroquinier.ière</t>
  </si>
  <si>
    <t>Menuisier.ière</t>
  </si>
  <si>
    <t>Peintre décorateur.trice</t>
  </si>
  <si>
    <t xml:space="preserve">Peintre décorateur.trice </t>
  </si>
  <si>
    <t xml:space="preserve">INMA : peintre en décor.
Propostion de regrouper Les 2 types de peintres car même formation orientation.ch
&gt; Peintre en décor du patrimoine (trouver definition car ny INMA ni orientation.ch</t>
  </si>
  <si>
    <t>Relieur.euse</t>
  </si>
  <si>
    <t>Préparateur.trice d'herbier</t>
  </si>
  <si>
    <t xml:space="preserve">Métier ni à INMA ni orientation.ch, voici les concordances :
| Champ   | Proposition |
| Définition INMA  | Restaurateur·trice de documents graphiques et imprimés |
| Formation orientation.ch   | Préparateur·trice en sciences naturelles CFC  |
| Alternative orientation.ch | Conservateur-restaurateur HES  |</t>
  </si>
  <si>
    <t>Restaurateur.trice de documents graphiques et imprimés</t>
  </si>
  <si>
    <t>Restaurateur.trice</t>
  </si>
  <si>
    <t>Sculpteur.trice sur bois</t>
  </si>
  <si>
    <t>Restaurateur d'objets anciens</t>
  </si>
  <si>
    <t>Sculpteur.trice sur pierre</t>
  </si>
  <si>
    <t xml:space="preserve">Sellier.ière
Sellier.ière-harnacheur</t>
  </si>
  <si>
    <t>Restauratrice d'art</t>
  </si>
  <si>
    <t>Sertisseur.euse</t>
  </si>
  <si>
    <t>Staffeur.euse - stucateur.euse</t>
  </si>
  <si>
    <t>Tailleur.euse</t>
  </si>
  <si>
    <t>Tailleur.euse de pierre</t>
  </si>
  <si>
    <t>Sculpteur.trice ornemaniste</t>
  </si>
  <si>
    <t>La clé des cœur Daniel Fauchez. Lui demander su on peut changer et mettre plutôt : sculpteur sur bois et pierre, ornemaniste</t>
  </si>
  <si>
    <t>Tapissier.ière</t>
  </si>
  <si>
    <t xml:space="preserve">Sellier.ière
Sellier harnacheur</t>
  </si>
  <si>
    <t>mis ensemble le 17.07.26</t>
  </si>
  <si>
    <t>Sertisseur·euse</t>
  </si>
  <si>
    <t>a ajouter sur le repertoire : marbrier, peintre en lettre</t>
  </si>
  <si>
    <t>Tourneur.euse sur bois</t>
  </si>
  <si>
    <t>Verrier</t>
  </si>
  <si>
    <t>Liste des événements</t>
  </si>
  <si>
    <t>Dernière MàJ : 04.06.26</t>
  </si>
  <si>
    <t>Total événements :</t>
  </si>
  <si>
    <t>Intégration artisans</t>
  </si>
  <si>
    <t>JEMA 2026</t>
  </si>
  <si>
    <t>JEMA 2025</t>
  </si>
  <si>
    <t>JEMA 2024</t>
  </si>
  <si>
    <t>Capsules vidéo</t>
  </si>
  <si>
    <t>PointMAG</t>
  </si>
  <si>
    <t xml:space="preserve">PointMAG </t>
  </si>
  <si>
    <t>CdM</t>
  </si>
  <si>
    <t>Autour du temps</t>
  </si>
  <si>
    <t>JEP</t>
  </si>
  <si>
    <t>Conseils des artisans</t>
  </si>
  <si>
    <t>Mise en conformité nLPD</t>
  </si>
  <si>
    <t>Concours Toile urbaine</t>
  </si>
  <si>
    <t>École &amp; Artisans</t>
  </si>
  <si>
    <t>Référent métiers</t>
  </si>
  <si>
    <t>Validation pages</t>
  </si>
  <si>
    <t>Dernière MàJ : 03.07.26</t>
  </si>
  <si>
    <t>Liste des communes (45 à Genève)</t>
  </si>
  <si>
    <t>Communes représentées</t>
  </si>
  <si>
    <t>Nombre artisans</t>
  </si>
  <si>
    <t>Institutions</t>
  </si>
  <si>
    <t>Ecoles</t>
  </si>
  <si>
    <t>Associations Pro</t>
  </si>
  <si>
    <t>Partenaires</t>
  </si>
  <si>
    <t>Anières</t>
  </si>
  <si>
    <t>Avully</t>
  </si>
  <si>
    <t>Avusy</t>
  </si>
  <si>
    <t>Cologny</t>
  </si>
  <si>
    <t>Perly-Certoux</t>
  </si>
  <si>
    <t>Cartigny</t>
  </si>
  <si>
    <t>Céligny</t>
  </si>
  <si>
    <t>Chancy</t>
  </si>
  <si>
    <t>Chêne-Bougeries</t>
  </si>
  <si>
    <t>Choulex</t>
  </si>
  <si>
    <t>Collex-Bossy</t>
  </si>
  <si>
    <t>Collonge-Bellerive</t>
  </si>
  <si>
    <t>Confignon</t>
  </si>
  <si>
    <t>Corsier</t>
  </si>
  <si>
    <t>Modifications</t>
  </si>
  <si>
    <r>
      <t xml:space="preserve">22.08.25 : </t>
    </r>
    <r>
      <rPr>
        <color theme="1"/>
        <sz val="12"/>
        <rFont val="Simplon Norm"/>
      </rPr>
      <t>commune modifée pour Méaloid maintenant à PLO, anciennement VdG</t>
    </r>
  </si>
  <si>
    <t>Genthod</t>
  </si>
  <si>
    <r>
      <t xml:space="preserve">22.08.25 : </t>
    </r>
    <r>
      <rPr>
        <color theme="1"/>
        <sz val="12"/>
        <rFont val="Simplon Norm"/>
      </rPr>
      <t>commune modifée pour eli O maintenant à carouge, anciennement VdG</t>
    </r>
  </si>
  <si>
    <t>Grand-Saconnex</t>
  </si>
  <si>
    <r>
      <t xml:space="preserve">23.05.25 - </t>
    </r>
    <r>
      <rPr>
        <color theme="1"/>
        <sz val="12"/>
        <rFont val="Simplon Norm"/>
      </rPr>
      <t>Atelier rené rené change d'adresse et part de Lancy pour Carouge</t>
    </r>
  </si>
  <si>
    <t>Gy</t>
  </si>
  <si>
    <r>
      <t xml:space="preserve">10.03.23 - </t>
    </r>
    <r>
      <rPr>
        <color theme="1"/>
        <sz val="12"/>
        <rFont val="Simplon Norm"/>
      </rPr>
      <t>Commune supprimée : Le Lignon</t>
    </r>
  </si>
  <si>
    <t>Hermance</t>
  </si>
  <si>
    <r>
      <t xml:space="preserve">10.03.23 - </t>
    </r>
    <r>
      <rPr>
        <color theme="1"/>
        <sz val="12"/>
        <rFont val="Simplon Norm"/>
      </rPr>
      <t>Commune supprimée : Vessy</t>
    </r>
  </si>
  <si>
    <r>
      <t xml:space="preserve">27.06.25 - </t>
    </r>
    <r>
      <rPr>
        <color theme="1"/>
        <sz val="12"/>
        <rFont val="Simplon Norm"/>
      </rPr>
      <t>commune modifiée sur site Chambésy à Pregny Chambésy</t>
    </r>
  </si>
  <si>
    <t>Laconnex</t>
  </si>
  <si>
    <t>Onex</t>
  </si>
  <si>
    <t>FANNY KOPP - AIRE (pour Vernier)</t>
  </si>
  <si>
    <t>Plan-Les-Ouates</t>
  </si>
  <si>
    <t>MARINA MAGNIN - Vessy</t>
  </si>
  <si>
    <t>Russin</t>
  </si>
  <si>
    <t>Soral</t>
  </si>
  <si>
    <t>Thônex</t>
  </si>
  <si>
    <t>Troinex</t>
  </si>
  <si>
    <t xml:space="preserve">Vandoeuvres </t>
  </si>
  <si>
    <t>Versoix</t>
  </si>
  <si>
    <t>Ville de Genève</t>
  </si>
  <si>
    <t>Totaux par colonne</t>
  </si>
  <si>
    <t>Total global</t>
  </si>
  <si>
    <t>Liste des écoles</t>
  </si>
  <si>
    <t>Dernière MàJ : 27.05.25</t>
  </si>
  <si>
    <t>Van Cleef &amp; Arpeels (ex-Campus)</t>
  </si>
  <si>
    <t>Version du 21.05.25</t>
  </si>
  <si>
    <t>Version du 24.04.26</t>
  </si>
  <si>
    <t>Liste institutions culturelles</t>
  </si>
  <si>
    <t>Participation JEMA</t>
  </si>
  <si>
    <t>Institutions culturelles</t>
  </si>
  <si>
    <t>Scènes du Grütli</t>
  </si>
  <si>
    <t>API - Association pour le patrimoine industriel</t>
  </si>
  <si>
    <t>X</t>
  </si>
  <si>
    <t>Collection des Moulages de l'UNIGE</t>
  </si>
  <si>
    <t>Musée d'Ethnographie de Genève - MEG</t>
  </si>
  <si>
    <t>BGE - Bibliothèque de Genève (La Musicale)</t>
  </si>
  <si>
    <t>Musée d'Art et d'Histoire - MAH</t>
  </si>
  <si>
    <t>Bibliothèque de Genève (La Musicale) - BGE</t>
  </si>
  <si>
    <t>GTG - Grand Théâtre de Genève</t>
  </si>
  <si>
    <t>MAH - Musée d'Art et d'Histoire</t>
  </si>
  <si>
    <t>MEG - Musée d'Ethnographie de Genève</t>
  </si>
  <si>
    <t>Grand Théâtre de Genève - GTG</t>
  </si>
  <si>
    <t>MHN - Musée d'Histoire Naturelle</t>
  </si>
  <si>
    <t>Musée d'Histoire Naturelle - MHN</t>
  </si>
  <si>
    <t>Nombre visiteurs dans les institutions</t>
  </si>
  <si>
    <t>Présent au Pavillon Sicli et dans leur institution</t>
  </si>
  <si>
    <t>NA</t>
  </si>
  <si>
    <t>Présent au Pavillon Sicli</t>
  </si>
  <si>
    <t>Pas dans notre répertoire</t>
  </si>
  <si>
    <t>Liste des partenaires site internet MAG</t>
  </si>
  <si>
    <t>MàJ 09.10.24</t>
  </si>
  <si>
    <t>OPS</t>
  </si>
  <si>
    <t>OFPC</t>
  </si>
  <si>
    <t>UFGVV</t>
  </si>
  <si>
    <t>Depuis</t>
  </si>
  <si>
    <t xml:space="preserve">Commentaire </t>
  </si>
  <si>
    <t>CCIG</t>
  </si>
  <si>
    <t>JEMA 2024 sans contre partie, partenaire unique PointMAG 2024</t>
  </si>
  <si>
    <t>Mecène ateliers d'initiation</t>
  </si>
  <si>
    <t>Raiffeisen</t>
  </si>
  <si>
    <t>FFPC</t>
  </si>
  <si>
    <t>Ports Francs</t>
  </si>
  <si>
    <t>Zurich Assurances</t>
  </si>
  <si>
    <t>MÉTIERS DANS "METIERS &amp; FORMATIONS"</t>
  </si>
  <si>
    <t>LISTE MÉTIERS MAG</t>
  </si>
  <si>
    <t>Artisan·e fleuriste</t>
  </si>
  <si>
    <t>Conservateur restaurateur d'œuvres d'art</t>
  </si>
  <si>
    <t>Costumier</t>
  </si>
  <si>
    <t>Non intégér, car formation non trouvée sur orientation.ch</t>
  </si>
  <si>
    <t>Décorateur accessoiriste de costumes</t>
  </si>
  <si>
    <t>Non intégré, car pas métier INMA</t>
  </si>
  <si>
    <t>Découpeur sur papier</t>
  </si>
  <si>
    <t xml:space="preserve">Feutrier </t>
  </si>
  <si>
    <t>Imprimeur</t>
  </si>
  <si>
    <t>Non intégré, car pas formtion Orientation.ch</t>
  </si>
  <si>
    <t>Luthier du quatuor</t>
  </si>
  <si>
    <t xml:space="preserve">Relieur </t>
  </si>
  <si>
    <t>Non intégré</t>
  </si>
  <si>
    <t>Restaurateur de documents</t>
  </si>
  <si>
    <t>Sculpteur pierre</t>
  </si>
  <si>
    <t>Sellier harnacheur</t>
  </si>
  <si>
    <t>Staffeur / stucateur</t>
  </si>
  <si>
    <t>Tisserand·e</t>
  </si>
  <si>
    <t>METIERS INMA</t>
  </si>
  <si>
    <t>au 30.05.2023</t>
  </si>
  <si>
    <t>Domaine de l'architecture et des jardins</t>
  </si>
  <si>
    <t>Domaine de l'ameublement et de la décoration</t>
  </si>
  <si>
    <t>Domaine du luminaire</t>
  </si>
  <si>
    <t>Domaine de la bijouterie, joaillerie, orfèvrerie et horlogerie</t>
  </si>
  <si>
    <t>Domaine du métal</t>
  </si>
  <si>
    <t>Domaine de la céramique</t>
  </si>
  <si>
    <t>Domaine du verre et du cristal</t>
  </si>
  <si>
    <t>Domaine de la tabletterie</t>
  </si>
  <si>
    <t>Domaine de la mode et des accessoires</t>
  </si>
  <si>
    <t>Domaine du textile</t>
  </si>
  <si>
    <t>Domaine du cuir</t>
  </si>
  <si>
    <t>Domaine du spectacle</t>
  </si>
  <si>
    <t>Domaine du papier, du graphisme et de l'impression</t>
  </si>
  <si>
    <t>Domaine des jeux, jouets et ouvrages mécaniques</t>
  </si>
  <si>
    <t>Domaine de la facture instrumentale</t>
  </si>
  <si>
    <t>Domaine de la restauration</t>
  </si>
  <si>
    <t>Ardoisier</t>
  </si>
  <si>
    <t>Canneur-rempailleur</t>
  </si>
  <si>
    <t>Fabricant de luminaires</t>
  </si>
  <si>
    <t>Argenteur et/ou doreur sur métal</t>
  </si>
  <si>
    <t>Armurier</t>
  </si>
  <si>
    <t>Verrier à la main</t>
  </si>
  <si>
    <t>Brossier</t>
  </si>
  <si>
    <t>Boutonnier</t>
  </si>
  <si>
    <t>Bottier main</t>
  </si>
  <si>
    <t>Carrossier</t>
  </si>
  <si>
    <t>Archetier</t>
  </si>
  <si>
    <t>Restaurateur d'objets scientifiques, techniques, industriels</t>
  </si>
  <si>
    <t>Âtrier</t>
  </si>
  <si>
    <t>Cirier</t>
  </si>
  <si>
    <t>Fabricant d'abat-jour</t>
  </si>
  <si>
    <t>Batteur d'or</t>
  </si>
  <si>
    <t>Bronzier - monteur en bronze</t>
  </si>
  <si>
    <t>Décorateur sur céramique</t>
  </si>
  <si>
    <t>Verrier au chalumeau</t>
  </si>
  <si>
    <t>Cornier</t>
  </si>
  <si>
    <t>Chapelier - modiste</t>
  </si>
  <si>
    <t>Dentellier</t>
  </si>
  <si>
    <t>Fabricant de chaussures</t>
  </si>
  <si>
    <t>Fabricant de décors de spectacle</t>
  </si>
  <si>
    <t>Dominotier - fabricant de papier peint</t>
  </si>
  <si>
    <t>Charron</t>
  </si>
  <si>
    <t>Fabricant d'anches</t>
  </si>
  <si>
    <t>Restaurateur de céramiques</t>
  </si>
  <si>
    <t>Briquetier</t>
  </si>
  <si>
    <t>Bijoutier - joaillier</t>
  </si>
  <si>
    <t>Ciseleur</t>
  </si>
  <si>
    <t>Santonnier</t>
  </si>
  <si>
    <t>Ecailliste</t>
  </si>
  <si>
    <t>Corsetier</t>
  </si>
  <si>
    <t>Ennoblisseur textile</t>
  </si>
  <si>
    <t>Fourreur</t>
  </si>
  <si>
    <t>Fabricant de masques</t>
  </si>
  <si>
    <t>Doreur sur cuir - Doreur sur tranche</t>
  </si>
  <si>
    <t>Fabricant de figurines</t>
  </si>
  <si>
    <t>Facteur et/ou restaurateur de clavecins et épinettes</t>
  </si>
  <si>
    <t>Restaurateurs de cuirs</t>
  </si>
  <si>
    <t>Campaniste</t>
  </si>
  <si>
    <t xml:space="preserve">Ébéniste </t>
  </si>
  <si>
    <t>Bijoutier fantasie - apprêteur - décorateur en résine - fondeur d'étain</t>
  </si>
  <si>
    <t>Verrier fondeur</t>
  </si>
  <si>
    <t>Ivoirier - Graveur sur ivoire et autres matériaux d'origine animale</t>
  </si>
  <si>
    <t>Couturier - Couturier flou</t>
  </si>
  <si>
    <t>Fabricant de coiffes</t>
  </si>
  <si>
    <t xml:space="preserve">Fabricant d'accessoires de spectacle </t>
  </si>
  <si>
    <t>Enlumieur</t>
  </si>
  <si>
    <t>Fabricant de jeux et jouets</t>
  </si>
  <si>
    <t>Facteur et/ou restaurateur de harpes</t>
  </si>
  <si>
    <t>Émailleur sur lave</t>
  </si>
  <si>
    <t>Dinandier</t>
  </si>
  <si>
    <t>Nacrier</t>
  </si>
  <si>
    <t>Eventailliste</t>
  </si>
  <si>
    <t>Fabricant d'objets en textiles</t>
  </si>
  <si>
    <t>Gantier</t>
  </si>
  <si>
    <t>Perruquier-posticheur</t>
  </si>
  <si>
    <t>Fabricant de papier</t>
  </si>
  <si>
    <t>Fabricant de manèges</t>
  </si>
  <si>
    <t>Facteur et/ou restaurateur de percussions</t>
  </si>
  <si>
    <t>Restaurateur de métal</t>
  </si>
  <si>
    <t>Charpentier de marine</t>
  </si>
  <si>
    <t>Emailleur sur métal</t>
  </si>
  <si>
    <t>Pipier</t>
  </si>
  <si>
    <t>Fabricant de cannes</t>
  </si>
  <si>
    <t>Gaufreur sur cuir</t>
  </si>
  <si>
    <t>Fabricant d'objets en papier et/ou carton</t>
  </si>
  <si>
    <t>Fabricant de maquettes</t>
  </si>
  <si>
    <t>Facteur et/ou restaurateur de pianos</t>
  </si>
  <si>
    <t>Restaurateur de meubles</t>
  </si>
  <si>
    <t>Chaumier</t>
  </si>
  <si>
    <t>Fabricant de compositions et décors végétaux stables et durables</t>
  </si>
  <si>
    <t>Diamantaire</t>
  </si>
  <si>
    <t>Féron</t>
  </si>
  <si>
    <t>Tabletier</t>
  </si>
  <si>
    <t>Fabricant de parapluies, parasols, ombrelles</t>
  </si>
  <si>
    <t>Malletier - layetier</t>
  </si>
  <si>
    <t>Graveur de poinçons - Fondeur de caractères</t>
  </si>
  <si>
    <t>Fabricant de marionnettes</t>
  </si>
  <si>
    <t>Facteur et/ou restaurateur d'accordéons</t>
  </si>
  <si>
    <t>Restaurateur de mosaïques</t>
  </si>
  <si>
    <t>Couvreur du patrimoine bâti</t>
  </si>
  <si>
    <t>Fabricant de serrures</t>
  </si>
  <si>
    <t>Emailleur sur cadrans</t>
  </si>
  <si>
    <t>Ferronnier-forgeron</t>
  </si>
  <si>
    <t>Formier</t>
  </si>
  <si>
    <t>Tisserand - Tisserand à bras</t>
  </si>
  <si>
    <t>Maroquinier - coupeur</t>
  </si>
  <si>
    <t>Graveur en taille-douce</t>
  </si>
  <si>
    <t>Fabricant de poupées ou de peluches de collection</t>
  </si>
  <si>
    <t>Facteur et/ou restaurateur d'harmoniums</t>
  </si>
  <si>
    <t>Restaurateur de peintures</t>
  </si>
  <si>
    <t>Couvreur ornemaniste</t>
  </si>
  <si>
    <t>Fabricant de tapis et/ou de tapisseries - Lissier - Tufteur</t>
  </si>
  <si>
    <t>Fondeur - Fondeur statuaire</t>
  </si>
  <si>
    <t>Lunetier</t>
  </si>
  <si>
    <t>Tresseur</t>
  </si>
  <si>
    <t>Mégissier</t>
  </si>
  <si>
    <t>Graveur et imprimeur en gaufrage</t>
  </si>
  <si>
    <t>Fabricant d'automates</t>
  </si>
  <si>
    <t>Facteur et/ou restaurateur d'instruments à vent en bois</t>
  </si>
  <si>
    <t>Restaurateur de photographies</t>
  </si>
  <si>
    <t>Escaliéteur</t>
  </si>
  <si>
    <t>Fresquiste</t>
  </si>
  <si>
    <t>Glypticien</t>
  </si>
  <si>
    <t>Fondeur de cloches et sonnailles</t>
  </si>
  <si>
    <t>Modéliste</t>
  </si>
  <si>
    <t>Veloutier</t>
  </si>
  <si>
    <t>Parcheminier</t>
  </si>
  <si>
    <t>Héliograveur</t>
  </si>
  <si>
    <t>Fabricant et/ou restaurateur de véhicules de collection</t>
  </si>
  <si>
    <t>Facteur et/ou restaurateur d'instruments à vent en métal - chaudronnier</t>
  </si>
  <si>
    <t>Restaurateur de sculptures</t>
  </si>
  <si>
    <t>Fabricant de bardeaux ou de lattes</t>
  </si>
  <si>
    <t>Graveur sur pierre</t>
  </si>
  <si>
    <t>Parurier floral</t>
  </si>
  <si>
    <t>Pareur</t>
  </si>
  <si>
    <t>Imagier au pochoir</t>
  </si>
  <si>
    <t>Facteur et/ou restaurateur d'instruments de musique mécanique</t>
  </si>
  <si>
    <t>Restaurateur de textiles</t>
  </si>
  <si>
    <t>Fabricant de carreaux</t>
  </si>
  <si>
    <t>Lapidaire-tourneur sur pierres dures et fines</t>
  </si>
  <si>
    <t>Graveur héraldiste</t>
  </si>
  <si>
    <t>Graveur de poinçons et Fondeur de caractères</t>
  </si>
  <si>
    <t>Plumassier</t>
  </si>
  <si>
    <t>Sellier-harnacheur</t>
  </si>
  <si>
    <t>Imprimeur en lithographie</t>
  </si>
  <si>
    <t>Facteur et/ou restaurateur d'instruments traditionnels</t>
  </si>
  <si>
    <t>Restaurateur de verre et de cristal</t>
  </si>
  <si>
    <t>Fabricant de girouettes et d'éléments de faîtage</t>
  </si>
  <si>
    <t>Laqueur</t>
  </si>
  <si>
    <t>Graveur médailleur</t>
  </si>
  <si>
    <t>Modeleur - Mouleur</t>
  </si>
  <si>
    <t>Sellier-maroquinier</t>
  </si>
  <si>
    <t>Imprimeur en sérigraphie</t>
  </si>
  <si>
    <t>Facteur et/ou restaurateur d'orgues</t>
  </si>
  <si>
    <t>Restauratuer de vitraux</t>
  </si>
  <si>
    <t>Fontainier</t>
  </si>
  <si>
    <t>Marqueteur</t>
  </si>
  <si>
    <t>Guillocheur</t>
  </si>
  <si>
    <t>Monnayeur de monnaies ou de médailles</t>
  </si>
  <si>
    <t>Tanneur</t>
  </si>
  <si>
    <t xml:space="preserve">Imprimeur en typographie </t>
  </si>
  <si>
    <t>Luthier en guitare et/ou restaurateur de guitares</t>
  </si>
  <si>
    <t>Jardinier du patrimoine</t>
  </si>
  <si>
    <t>Marqueteur de pailles</t>
  </si>
  <si>
    <t>Patineur</t>
  </si>
  <si>
    <t>Marbreur sur papier</t>
  </si>
  <si>
    <t>Luthier et/ou restaurateur d'instruments à cordes frottées</t>
  </si>
  <si>
    <t>Lauzier - Lavier</t>
  </si>
  <si>
    <t>Marqueteur de pierres dures</t>
  </si>
  <si>
    <t>Lapidaire</t>
  </si>
  <si>
    <t>Potier d'étain</t>
  </si>
  <si>
    <t>Photographe technicien</t>
  </si>
  <si>
    <t>Maçon du patrimoine bâti</t>
  </si>
  <si>
    <t>Menuisier en sièges</t>
  </si>
  <si>
    <t>Orfèvre</t>
  </si>
  <si>
    <t>Taillandier</t>
  </si>
  <si>
    <t>Maître-verrier (vitrailliste)</t>
  </si>
  <si>
    <t>Mosaïste</t>
  </si>
  <si>
    <t>Polisseur</t>
  </si>
  <si>
    <t>Mouleur</t>
  </si>
  <si>
    <t>Passementier</t>
  </si>
  <si>
    <t>Métallier</t>
  </si>
  <si>
    <t>Peintre en décor</t>
  </si>
  <si>
    <t>Murailler</t>
  </si>
  <si>
    <t>Peintre sur mobilier</t>
  </si>
  <si>
    <t>Poêlier</t>
  </si>
  <si>
    <t>Paveur-dalleur</t>
  </si>
  <si>
    <t xml:space="preserve">Rocailleur </t>
  </si>
  <si>
    <t>Sculpteur sur métal</t>
  </si>
  <si>
    <t>Sellier d'ameublement</t>
  </si>
  <si>
    <t>Treillageur</t>
  </si>
  <si>
    <t>Tapissier d'ameublement et/ou tapissier décorateur</t>
  </si>
  <si>
    <t>Tuilier</t>
  </si>
  <si>
    <t xml:space="preserve">Tourneur sur métal </t>
  </si>
  <si>
    <t>Vannier</t>
  </si>
  <si>
    <t>Vernisseur</t>
  </si>
  <si>
    <t>PAS FINI</t>
  </si>
  <si>
    <t>MÉTIERS ASMA</t>
  </si>
  <si>
    <t>au 13.06.2023</t>
  </si>
  <si>
    <t>Art de la facture instrumentale</t>
  </si>
  <si>
    <t>Art de la pierre</t>
  </si>
  <si>
    <t>Art de la terre</t>
  </si>
  <si>
    <t>Art de l'horlogerie et de la bijouterie</t>
  </si>
  <si>
    <t>Art du bois</t>
  </si>
  <si>
    <t>Art du cuir</t>
  </si>
  <si>
    <t>Art du métal</t>
  </si>
  <si>
    <t>Art du papier</t>
  </si>
  <si>
    <t>Art du textile</t>
  </si>
  <si>
    <t>Art du verre</t>
  </si>
  <si>
    <t>Art de la conservation et de la restauration</t>
  </si>
  <si>
    <t>Arts appliqués</t>
  </si>
  <si>
    <t>Angleur</t>
  </si>
  <si>
    <t xml:space="preserve">Boisselier </t>
  </si>
  <si>
    <t>Argenteur</t>
  </si>
  <si>
    <t>Abat-jouriste</t>
  </si>
  <si>
    <t>Bombeur de verre</t>
  </si>
  <si>
    <t>Reataurateur de livres</t>
  </si>
  <si>
    <t>Couveur ornemaniste</t>
  </si>
  <si>
    <t>Boursier</t>
  </si>
  <si>
    <t>Dominotier</t>
  </si>
  <si>
    <t>Bonnetier</t>
  </si>
  <si>
    <t>Fabricant d'objets en verre acrylique</t>
  </si>
  <si>
    <t xml:space="preserve">Restaurateur d'art </t>
  </si>
  <si>
    <t>Automatier</t>
  </si>
  <si>
    <t>Facteur d'accordéons</t>
  </si>
  <si>
    <t>Fabricant de dallages</t>
  </si>
  <si>
    <t>Faïencier</t>
  </si>
  <si>
    <t>Cadrannier</t>
  </si>
  <si>
    <t>Cordonier</t>
  </si>
  <si>
    <t>Batteur d'or, tireur d'or</t>
  </si>
  <si>
    <t>Enlumineur</t>
  </si>
  <si>
    <t xml:space="preserve">Fileur de verre </t>
  </si>
  <si>
    <t>Restaurateur d'objets en verre ou en cristal</t>
  </si>
  <si>
    <t>Facteur d'instruments à vent</t>
  </si>
  <si>
    <t>Modeleur-mouleur</t>
  </si>
  <si>
    <t>Bronzier</t>
  </si>
  <si>
    <t>Chapelier modiste</t>
  </si>
  <si>
    <t>Flaconneur</t>
  </si>
  <si>
    <t>Restaurateur de dessins et estampes</t>
  </si>
  <si>
    <t>Facteur d'instruments de musique</t>
  </si>
  <si>
    <t>Porcelainier</t>
  </si>
  <si>
    <t>Fabricant de papier peint</t>
  </si>
  <si>
    <t>Miroitier</t>
  </si>
  <si>
    <t>Facteur d'orgues</t>
  </si>
  <si>
    <t>Potier</t>
  </si>
  <si>
    <t>Folioscopiste</t>
  </si>
  <si>
    <t>Restaurateur de papier</t>
  </si>
  <si>
    <t>Facteur de guitares</t>
  </si>
  <si>
    <t>Gnomoniste, cadraniste</t>
  </si>
  <si>
    <t>Chaudronnier dinandier</t>
  </si>
  <si>
    <t>Courtepointier</t>
  </si>
  <si>
    <t>Souffleur de verre</t>
  </si>
  <si>
    <t>Restaurateur de porcelaines</t>
  </si>
  <si>
    <t>Héraldiste, peintre armoriste</t>
  </si>
  <si>
    <t xml:space="preserve">Pareur </t>
  </si>
  <si>
    <t>Imprimeur d'art</t>
  </si>
  <si>
    <t xml:space="preserve">Couturier </t>
  </si>
  <si>
    <t>Verrier créateur</t>
  </si>
  <si>
    <t>Restaurateur de reliures</t>
  </si>
  <si>
    <t>Décorateur de théâtre, scénographe</t>
  </si>
  <si>
    <t>Muretier pierres sèches</t>
  </si>
  <si>
    <t>Peaussier</t>
  </si>
  <si>
    <t>Lithographe</t>
  </si>
  <si>
    <t>Créateur de textiles</t>
  </si>
  <si>
    <t>Verrier d'art</t>
  </si>
  <si>
    <t>Restaurateur de tableaux</t>
  </si>
  <si>
    <t>Décorateur étalagiste</t>
  </si>
  <si>
    <t>Paveur, dalleur</t>
  </si>
  <si>
    <t>Pelletier</t>
  </si>
  <si>
    <t>Damasquineur</t>
  </si>
  <si>
    <t>Dentiellier</t>
  </si>
  <si>
    <t>Vitrailliste - Maître verrier</t>
  </si>
  <si>
    <t>Écailliste</t>
  </si>
  <si>
    <t>Fabricant de jouets en bois</t>
  </si>
  <si>
    <t>Évantailliste</t>
  </si>
  <si>
    <t>Staffeur, stucateur</t>
  </si>
  <si>
    <t>Fabricant de skateboards</t>
  </si>
  <si>
    <t>Ferronier</t>
  </si>
  <si>
    <t>Fabricant d'objets de soie</t>
  </si>
  <si>
    <t>Fabricant d'accessoires de spectacle</t>
  </si>
  <si>
    <t>Perlier</t>
  </si>
  <si>
    <t>Fabricant de skis en bois</t>
  </si>
  <si>
    <t>Taille-doucier</t>
  </si>
  <si>
    <t>Fabricant de tapis</t>
  </si>
  <si>
    <t>Fabricant de boîtes à musique</t>
  </si>
  <si>
    <t>Tourneur sur pierre</t>
  </si>
  <si>
    <t xml:space="preserve">Sertisseur </t>
  </si>
  <si>
    <t>Facteur d'arc</t>
  </si>
  <si>
    <t>Fondeur de caractères</t>
  </si>
  <si>
    <t xml:space="preserve">Fabricant de composititons florales </t>
  </si>
  <si>
    <t>Squeletteur</t>
  </si>
  <si>
    <t>Forgeron</t>
  </si>
  <si>
    <t>Fabricant de fleurs artificielles</t>
  </si>
  <si>
    <t>Lainier</t>
  </si>
  <si>
    <t>Marqueteur sur bois</t>
  </si>
  <si>
    <t>Médailleur</t>
  </si>
  <si>
    <t>Lissier</t>
  </si>
  <si>
    <t>Gypsier, staffeur, stucateur</t>
  </si>
  <si>
    <t>Pétissier</t>
  </si>
  <si>
    <t>Ivoirier</t>
  </si>
  <si>
    <t>Moireur</t>
  </si>
  <si>
    <t>Potier d'étain, étameur</t>
  </si>
  <si>
    <t>Rotinier</t>
  </si>
  <si>
    <t>Serrurier</t>
  </si>
  <si>
    <t>Rentrayeur</t>
  </si>
  <si>
    <t>Sabotier</t>
  </si>
  <si>
    <t>Restaurateur de tapis</t>
  </si>
  <si>
    <t>Sanglier</t>
  </si>
  <si>
    <t>Tailleur, couturier</t>
  </si>
  <si>
    <t>Parfumeur</t>
  </si>
  <si>
    <t xml:space="preserve">Parurier floral </t>
  </si>
  <si>
    <t>Tisserand</t>
  </si>
  <si>
    <t>Tavillonneur</t>
  </si>
  <si>
    <t>Peintre fileur-doreur</t>
  </si>
  <si>
    <t>Tonnelier</t>
  </si>
  <si>
    <t>Voilier</t>
  </si>
  <si>
    <t>Poêlier fumiste</t>
  </si>
  <si>
    <t>Vernisseur au tampon</t>
  </si>
  <si>
    <t>Préparateur d'herbiers</t>
  </si>
  <si>
    <t>Savonnier</t>
  </si>
  <si>
    <t>Sulpteur de marionnettes</t>
  </si>
  <si>
    <t>SUIVI CAPSULES VIDEOS</t>
  </si>
  <si>
    <t>Dernière MàJ : 26.06.26</t>
  </si>
  <si>
    <t>Domaines dans répertoire</t>
  </si>
  <si>
    <t>Métiers</t>
  </si>
  <si>
    <t>Artisan·e</t>
  </si>
  <si>
    <t>PAC</t>
  </si>
  <si>
    <t>LABEL</t>
  </si>
  <si>
    <t>Commentaires</t>
  </si>
  <si>
    <t>Feutrière</t>
  </si>
  <si>
    <t>Carolina Véliz</t>
  </si>
  <si>
    <t>Tous</t>
  </si>
  <si>
    <t>Fabricante de compositions et de décors végétaux stables et durables</t>
  </si>
  <si>
    <t>Héloïse Ihne</t>
  </si>
  <si>
    <t>Marie Schott</t>
  </si>
  <si>
    <t>Institution culturelle</t>
  </si>
  <si>
    <t>Conservateur-restaurateur</t>
  </si>
  <si>
    <t>MAH</t>
  </si>
  <si>
    <t>Art du texile</t>
  </si>
  <si>
    <t>De Fil en Fil</t>
  </si>
  <si>
    <t>Chloé Gaidioz</t>
  </si>
  <si>
    <t>Cerutti Toitures</t>
  </si>
  <si>
    <t>Laura Cavallo</t>
  </si>
  <si>
    <t>Jérôme Vander Maren</t>
  </si>
  <si>
    <t xml:space="preserve">23.06.26 supprimé car n'exerce plus sur Genève
Capsule tournée pour JEMA 2023</t>
  </si>
  <si>
    <t>Réhane Favereau</t>
  </si>
  <si>
    <t>Art de l'horlogerie et bijouterie</t>
  </si>
  <si>
    <t>Samuel Gillioz</t>
  </si>
  <si>
    <t>Ingrid Schmidt</t>
  </si>
  <si>
    <t>Ateliers Blandenier</t>
  </si>
  <si>
    <t xml:space="preserve">Art de la conservation/restauration </t>
  </si>
  <si>
    <t>Musée Hoffman</t>
  </si>
  <si>
    <t>10.03.23 : pas le même titre en haut de la vidéo ni dans la vidéo</t>
  </si>
  <si>
    <t>Pierre Fuhrer</t>
  </si>
  <si>
    <t>Ilir Thaqi</t>
  </si>
  <si>
    <t xml:space="preserve">FAILLITE / N'EST PLUS DANS N/ REPERTOIRE
Capsule tounrée pour JEMA 2021</t>
  </si>
  <si>
    <t>Arnaud Olivier</t>
  </si>
  <si>
    <t>Lionel Camusso</t>
  </si>
  <si>
    <t>Marco Colucci</t>
  </si>
  <si>
    <t>Silvio Asseo</t>
  </si>
  <si>
    <t>Yohan Seror</t>
  </si>
  <si>
    <t>Anne Ponthenier</t>
  </si>
  <si>
    <t>Chris Murner</t>
  </si>
  <si>
    <t>Charles Roulin</t>
  </si>
  <si>
    <t xml:space="preserve">Art du métal </t>
  </si>
  <si>
    <t>Anna Leckie</t>
  </si>
  <si>
    <t>API</t>
  </si>
  <si>
    <t>Josefa Garcia Lozano</t>
  </si>
  <si>
    <t>Matthias Buckel</t>
  </si>
  <si>
    <t>Yvan Hostettler</t>
  </si>
  <si>
    <t>Thierry Reverdin</t>
  </si>
  <si>
    <t>Thomas Horth</t>
  </si>
  <si>
    <t>CFPne Lullier</t>
  </si>
  <si>
    <t>Association pour le patrimoine ind. - API</t>
  </si>
  <si>
    <t xml:space="preserve"> API</t>
  </si>
  <si>
    <t>Arts du bois</t>
  </si>
  <si>
    <t>CFPConstruction</t>
  </si>
  <si>
    <t>Doreur sur bois</t>
  </si>
  <si>
    <t>Doreur sur papier</t>
  </si>
  <si>
    <t>Art du textile - Grand Théâtre de GE</t>
  </si>
  <si>
    <t>Conservatoire &amp; Jardin botabnique de GE</t>
  </si>
  <si>
    <t>Fondation Baur, Musée des Arts..</t>
  </si>
  <si>
    <t>Muséum d'Histoire Naturelle - MAH</t>
  </si>
  <si>
    <t>Art de terre</t>
  </si>
  <si>
    <t>Lisa Novel</t>
  </si>
  <si>
    <t xml:space="preserve">28.03.26 Suppression vidéo, car fermeture atelier (reconversion)
Capsule tounée pour JEMA 2022</t>
  </si>
  <si>
    <t>CARTOGRAPHIE VIDÉO</t>
  </si>
  <si>
    <t>Version du : 20.02.2025</t>
  </si>
  <si>
    <t>Art de l'horlogerie et  bijouterie</t>
  </si>
  <si>
    <t>Art de la conservation et  restauration</t>
  </si>
  <si>
    <r>
      <t xml:space="preserve">Ingrid Schmidt Schmuck
</t>
    </r>
    <r>
      <rPr>
        <color rgb="FFC00000"/>
        <sz val="14"/>
        <rFont val="Simplon Norm"/>
      </rPr>
      <t>Bijoutière</t>
    </r>
  </si>
  <si>
    <r>
      <t xml:space="preserve">Pianos-service P. Fuhrer
</t>
    </r>
    <r>
      <rPr>
        <color rgb="FFC00000"/>
        <sz val="14"/>
        <rFont val="Simplon Norm"/>
      </rPr>
      <t>Facteur de pianos</t>
    </r>
  </si>
  <si>
    <r>
      <rPr>
        <color rgb="FF000000"/>
        <sz val="14"/>
        <rFont val="Simplon Norm"/>
      </rPr>
      <t xml:space="preserve">Jurr &amp; Cuenat
</t>
    </r>
    <r>
      <rPr>
        <color rgb="FFC00000"/>
        <sz val="14"/>
        <rFont val="Simplon Norm"/>
      </rPr>
      <t xml:space="preserve">Staffeur
</t>
    </r>
    <r>
      <rPr>
        <b/>
        <i/>
        <color rgb="FF000000"/>
        <sz val="14"/>
        <rFont val="Simplon Norm"/>
      </rPr>
      <t>FAILLITE</t>
    </r>
  </si>
  <si>
    <r>
      <t xml:space="preserve">l'Antre-Peaux
Chris Murner
</t>
    </r>
    <r>
      <rPr>
        <color rgb="FFC00000"/>
        <sz val="14"/>
        <rFont val="Simplon Norm"/>
      </rPr>
      <t>Maroquinière</t>
    </r>
  </si>
  <si>
    <r>
      <t xml:space="preserve">Atelier Leckie
</t>
    </r>
    <r>
      <rPr>
        <color rgb="FFC00000"/>
        <sz val="14"/>
        <rFont val="Simplon Norm"/>
      </rPr>
      <t>Graveuse taille-douce</t>
    </r>
  </si>
  <si>
    <r>
      <t xml:space="preserve">Revenga Chemisiers genevois
</t>
    </r>
    <r>
      <rPr>
        <color rgb="FFC00000"/>
        <sz val="14"/>
        <rFont val="Simplon Norm"/>
      </rPr>
      <t>Maître chemisier</t>
    </r>
  </si>
  <si>
    <r>
      <t xml:space="preserve">Matthias Buckel &amp; Filles
</t>
    </r>
    <r>
      <rPr>
        <color rgb="FFC00000"/>
        <sz val="14"/>
        <rFont val="Simplon Norm"/>
      </rPr>
      <t>Oculariste</t>
    </r>
  </si>
  <si>
    <r>
      <t xml:space="preserve">Yvan Hostettler
</t>
    </r>
    <r>
      <rPr>
        <color rgb="FFC00000"/>
        <sz val="14"/>
        <rFont val="Simplon Norm"/>
      </rPr>
      <t>Calligraphe</t>
    </r>
  </si>
  <si>
    <r>
      <t xml:space="preserve">Sylvio Asseo
</t>
    </r>
    <r>
      <rPr>
        <color rgb="FFC00000"/>
        <sz val="14"/>
        <rFont val="Simplon Norm"/>
      </rPr>
      <t>Sculpteur</t>
    </r>
  </si>
  <si>
    <r>
      <t xml:space="preserve">Réhane Favereau
</t>
    </r>
    <r>
      <rPr>
        <color rgb="FFC00000"/>
        <sz val="14"/>
        <rFont val="Simplon Norm"/>
      </rPr>
      <t>Découpeuse sur papier</t>
    </r>
  </si>
  <si>
    <r>
      <rPr>
        <color rgb="FF000000"/>
        <sz val="14"/>
        <rFont val="Simplon Norm"/>
      </rPr>
      <t xml:space="preserve">Lisa Novel
</t>
    </r>
    <r>
      <rPr>
        <color rgb="FFC00000"/>
        <sz val="14"/>
        <rFont val="Simplon Norm"/>
      </rPr>
      <t xml:space="preserve">Céramiste
</t>
    </r>
    <r>
      <rPr>
        <b/>
        <i/>
        <color rgb="FF000000"/>
        <sz val="14"/>
        <rFont val="Simplon Norm"/>
      </rPr>
      <t>CHANGÉ DE MÉTIER</t>
    </r>
  </si>
  <si>
    <r>
      <t xml:space="preserve">Hoffmann Art Management
</t>
    </r>
    <r>
      <rPr>
        <color rgb="FFC00000"/>
        <sz val="14"/>
        <rFont val="Simplon Norm"/>
      </rPr>
      <t>Conservatrice et restauratrice de tableaux</t>
    </r>
  </si>
  <si>
    <r>
      <t xml:space="preserve">CFPne Lullier
</t>
    </r>
    <r>
      <rPr>
        <color rgb="FFC00000"/>
        <sz val="14"/>
        <rFont val="Simplon Norm"/>
      </rPr>
      <t>Fleuriste</t>
    </r>
  </si>
  <si>
    <r>
      <t xml:space="preserve">API 
</t>
    </r>
    <r>
      <rPr>
        <color rgb="FFC00000"/>
        <sz val="14"/>
        <rFont val="Simplon Norm"/>
      </rPr>
      <t>Imprimeur sur presses anciennes</t>
    </r>
  </si>
  <si>
    <r>
      <t xml:space="preserve">Samuel Gillioz
</t>
    </r>
    <r>
      <rPr>
        <color rgb="FFC00000"/>
        <sz val="14"/>
        <rFont val="Simplon Norm"/>
      </rPr>
      <t>Horloger</t>
    </r>
  </si>
  <si>
    <r>
      <t xml:space="preserve">Jérôme Vander Maren
</t>
    </r>
    <r>
      <rPr>
        <color rgb="FFC00000"/>
        <sz val="14"/>
        <rFont val="Simplon Norm"/>
      </rPr>
      <t>Luthier en guitare</t>
    </r>
  </si>
  <si>
    <r>
      <t xml:space="preserve">Atelier Comte
</t>
    </r>
    <r>
      <rPr>
        <color rgb="FFC00000"/>
        <sz val="14"/>
        <rFont val="Simplon Norm"/>
      </rPr>
      <t>Tailleur de pierre</t>
    </r>
  </si>
  <si>
    <r>
      <t xml:space="preserve">Yohan Seror
</t>
    </r>
    <r>
      <rPr>
        <color rgb="FFC00000"/>
        <sz val="14"/>
        <rFont val="Simplon Norm"/>
      </rPr>
      <t>Bottier - cordonnier</t>
    </r>
  </si>
  <si>
    <r>
      <t xml:space="preserve">Charles Roulin
</t>
    </r>
    <r>
      <rPr>
        <color rgb="FFC00000"/>
        <sz val="14"/>
        <rFont val="Simplon Norm"/>
      </rPr>
      <t>Coutelier</t>
    </r>
  </si>
  <si>
    <r>
      <t xml:space="preserve">Laura Cavallo
</t>
    </r>
    <r>
      <rPr>
        <color rgb="FFC00000"/>
        <sz val="14"/>
        <rFont val="Simplon Norm"/>
      </rPr>
      <t>Couturière</t>
    </r>
  </si>
  <si>
    <r>
      <t xml:space="preserve">Thomas Orth
</t>
    </r>
    <r>
      <rPr>
        <color rgb="FFC00000"/>
        <sz val="14"/>
        <rFont val="Simplon Norm"/>
      </rPr>
      <t>Peintre décorateur</t>
    </r>
  </si>
  <si>
    <r>
      <t xml:space="preserve">Marco Colucci 
</t>
    </r>
    <r>
      <rPr>
        <color rgb="FFC00000"/>
        <sz val="14"/>
        <rFont val="Simplon Norm"/>
      </rPr>
      <t>Encadreur</t>
    </r>
  </si>
  <si>
    <r>
      <t xml:space="preserve">Heloïse IHNE
</t>
    </r>
    <r>
      <rPr>
        <color rgb="FFC00000"/>
        <sz val="12"/>
        <rFont val="Simplon Norm"/>
      </rPr>
      <t>Fabricante de compositions et de décors végétaux stables et duràbles</t>
    </r>
  </si>
  <si>
    <r>
      <t xml:space="preserve">Fondation Bodmer
</t>
    </r>
    <r>
      <rPr>
        <color rgb="FFC00000"/>
        <sz val="14"/>
        <rFont val="Simplon Norm"/>
      </rPr>
      <t>Technicienne en conservation d'art</t>
    </r>
  </si>
  <si>
    <r>
      <t xml:space="preserve">CFP Construction
</t>
    </r>
    <r>
      <rPr>
        <color rgb="FFC00000"/>
        <sz val="14"/>
        <rFont val="Simplon Norm"/>
      </rPr>
      <t>Métiers du bois</t>
    </r>
  </si>
  <si>
    <r>
      <t xml:space="preserve">API 
</t>
    </r>
    <r>
      <rPr>
        <color rgb="FFC00000"/>
        <sz val="14"/>
        <rFont val="Simplon Norm"/>
      </rPr>
      <t>Typographe</t>
    </r>
  </si>
  <si>
    <r>
      <t xml:space="preserve">Ateliers Blandenier
</t>
    </r>
    <r>
      <rPr>
        <color rgb="FFC00000"/>
        <sz val="14"/>
        <rFont val="Simplon Norm"/>
      </rPr>
      <t>Émailleur</t>
    </r>
  </si>
  <si>
    <t xml:space="preserve">Pavillon Sicli-JEMA
Métiers de la pierre</t>
  </si>
  <si>
    <r>
      <t xml:space="preserve">Anne Ponthenier
</t>
    </r>
    <r>
      <rPr>
        <color rgb="FFC00000"/>
        <sz val="14"/>
        <rFont val="Simplon Norm"/>
      </rPr>
      <t>Sellière</t>
    </r>
  </si>
  <si>
    <r>
      <t xml:space="preserve">Cerutti toitures
</t>
    </r>
    <r>
      <rPr>
        <color rgb="FFC00000"/>
        <sz val="14"/>
        <rFont val="Simplon Norm"/>
      </rPr>
      <t>Ferblantier ornemaniste</t>
    </r>
  </si>
  <si>
    <r>
      <t xml:space="preserve">De Fil en Fil
</t>
    </r>
    <r>
      <rPr>
        <color rgb="FFC00000"/>
        <sz val="14"/>
        <rFont val="Simplon Norm"/>
      </rPr>
      <t>Tisserandes</t>
    </r>
  </si>
  <si>
    <r>
      <t xml:space="preserve">Thierry Riverdin
</t>
    </r>
    <r>
      <rPr>
        <color rgb="FFC00000"/>
        <sz val="14"/>
        <rFont val="Simplon Norm"/>
      </rPr>
      <t>Maquettiste</t>
    </r>
  </si>
  <si>
    <r>
      <t xml:space="preserve">Lionel Camusso
</t>
    </r>
    <r>
      <rPr>
        <color rgb="FFC00000"/>
        <sz val="14"/>
        <rFont val="Simplon Norm"/>
      </rPr>
      <t>Charpentier</t>
    </r>
  </si>
  <si>
    <r>
      <t xml:space="preserve">API
</t>
    </r>
    <r>
      <rPr>
        <color rgb="FFC00000"/>
        <sz val="14"/>
        <rFont val="Simplon Norm"/>
      </rPr>
      <t>Relieuse</t>
    </r>
  </si>
  <si>
    <r>
      <t xml:space="preserve">Atelier contre-jour
</t>
    </r>
    <r>
      <rPr>
        <color rgb="FFC00000"/>
        <sz val="14"/>
        <rFont val="Simplon Norm"/>
      </rPr>
      <t>Abatjouriste</t>
    </r>
  </si>
  <si>
    <r>
      <t xml:space="preserve">Marie Schott
</t>
    </r>
    <r>
      <rPr>
        <color rgb="FFC00000"/>
        <sz val="14"/>
        <rFont val="Simplon Norm"/>
      </rPr>
      <t>Encadreuse d'art</t>
    </r>
  </si>
  <si>
    <r>
      <t xml:space="preserve">Grand Théâtre
</t>
    </r>
    <r>
      <rPr>
        <color rgb="FFC00000"/>
        <sz val="14"/>
        <rFont val="Simplon Norm"/>
      </rPr>
      <t>Décoratrice et accessoiriste costumes</t>
    </r>
  </si>
  <si>
    <t xml:space="preserve">Carolina Véliz
Feutrière</t>
  </si>
  <si>
    <r>
      <t xml:space="preserve">MAH
</t>
    </r>
    <r>
      <rPr>
        <color rgb="FFC00000"/>
        <sz val="14"/>
        <rFont val="Simplon Norm"/>
      </rPr>
      <t>Conservateur-restaurateur</t>
    </r>
  </si>
  <si>
    <t>TOTAL ARTISANS</t>
  </si>
  <si>
    <t>DONT 2021</t>
  </si>
  <si>
    <t>1 en faillite</t>
  </si>
  <si>
    <t>03.02.26: 1-je propose qu'on les enlève du site, discuter avec Sandra</t>
  </si>
  <si>
    <t>DONT 2022</t>
  </si>
  <si>
    <t>1 changé de métier</t>
  </si>
  <si>
    <t>DONT 2023</t>
  </si>
  <si>
    <t>03.02.26: 2-l'addition ne donne pas 37 - voir pourquoi</t>
  </si>
  <si>
    <t>DONT 2024</t>
  </si>
  <si>
    <t>DONT 2025</t>
  </si>
  <si>
    <t>DONT 2026</t>
  </si>
  <si>
    <t>03.02.26: pardon Sandra - j'ai pas la couleur de JEMA sous la main</t>
  </si>
  <si>
    <t>DONT INSTITUITIONS</t>
  </si>
  <si>
    <t>5 capsules</t>
  </si>
  <si>
    <t>DONT ÉCOLES</t>
  </si>
  <si>
    <t>Nbre de métiers</t>
  </si>
  <si>
    <t>PAS DE VIDÉO PRÉVUE</t>
  </si>
  <si>
    <t>Culture</t>
  </si>
  <si>
    <t>Écoles</t>
  </si>
  <si>
    <t>Ingrid Schmidt Schmuck</t>
  </si>
  <si>
    <t>Pianos-service P. Fuhrer</t>
  </si>
  <si>
    <t>Jurr &amp; Cuenat</t>
  </si>
  <si>
    <t>l'Antre-Peaux</t>
  </si>
  <si>
    <t>Atelier Leckie</t>
  </si>
  <si>
    <t>Revenga Chemisiers genevois</t>
  </si>
  <si>
    <t>Matthias Buckel &amp; Filles</t>
  </si>
  <si>
    <t>CFP Construction</t>
  </si>
  <si>
    <t>Orth &amp; Fils</t>
  </si>
  <si>
    <t>Barro &amp; Cie</t>
  </si>
  <si>
    <t>Charles Duch</t>
  </si>
  <si>
    <t>Annick Berclaz</t>
  </si>
  <si>
    <t xml:space="preserve">Hoffmann </t>
  </si>
  <si>
    <t>Fondation Bodmer</t>
  </si>
  <si>
    <t>CFPNE Lullier</t>
  </si>
  <si>
    <t>Jacky Riesen</t>
  </si>
  <si>
    <t>Jérôme Blanc</t>
  </si>
  <si>
    <t>Loutan &amp; Cie</t>
  </si>
  <si>
    <t>Grand Théâtre</t>
  </si>
  <si>
    <t>Colucci</t>
  </si>
  <si>
    <t>Clef des Cœurs</t>
  </si>
  <si>
    <t>le papier est représenté par l'API</t>
  </si>
  <si>
    <t>LABEL GENÈVE</t>
  </si>
  <si>
    <t>Candidat potentiel</t>
  </si>
  <si>
    <t>mauvais client</t>
  </si>
  <si>
    <t>Atelier JMS</t>
  </si>
  <si>
    <t>pas de retour  scénario</t>
  </si>
  <si>
    <t>attente choix date</t>
  </si>
  <si>
    <r>
      <t xml:space="preserve">2023
</t>
    </r>
    <r>
      <rPr>
        <b/>
        <color theme="0"/>
        <sz val="9"/>
        <rFont val="Simplon Norm"/>
      </rPr>
      <t xml:space="preserve"> au 13 juin</t>
    </r>
  </si>
  <si>
    <r>
      <t xml:space="preserve">2022
</t>
    </r>
    <r>
      <rPr>
        <b/>
        <color theme="0"/>
        <sz val="9"/>
        <rFont val="Simplon Norm"/>
      </rPr>
      <t>31 décembre</t>
    </r>
  </si>
  <si>
    <r>
      <t xml:space="preserve">2021
</t>
    </r>
    <r>
      <rPr>
        <b/>
        <color theme="0"/>
        <sz val="9"/>
        <rFont val="Simplon Norm"/>
      </rPr>
      <t>31 décembre</t>
    </r>
  </si>
  <si>
    <r>
      <rPr>
        <b/>
        <color theme="0"/>
        <sz val="9"/>
        <rFont val="Simplon Norm"/>
      </rPr>
      <t>Lancement</t>
    </r>
    <r>
      <rPr>
        <b/>
        <color theme="0"/>
        <sz val="16"/>
        <rFont val="Simplon Norm"/>
      </rPr>
      <t xml:space="preserve">
2021
</t>
    </r>
    <r>
      <rPr>
        <b/>
        <color theme="0"/>
        <sz val="9"/>
        <rFont val="Simplon Norm"/>
      </rPr>
      <t>26 mars</t>
    </r>
  </si>
  <si>
    <t>Domaine</t>
  </si>
  <si>
    <t>-</t>
  </si>
  <si>
    <t>CFP</t>
  </si>
  <si>
    <t>Artisans</t>
  </si>
  <si>
    <t xml:space="preserve">Evénements </t>
  </si>
  <si>
    <t>Communes</t>
  </si>
  <si>
    <t>Inst. culturelles</t>
  </si>
  <si>
    <t>Capsules</t>
  </si>
  <si>
    <t>Abonnés</t>
  </si>
  <si>
    <t>Liste mailing artisan·e·s</t>
  </si>
  <si>
    <t>Dernière MàJ : 06.10.23</t>
  </si>
  <si>
    <t>Dernière MàJ : 30.03.23</t>
  </si>
  <si>
    <t xml:space="preserve">   </t>
  </si>
  <si>
    <t>Alexis De Los Santos</t>
  </si>
  <si>
    <t>Artisan fleuriste</t>
  </si>
  <si>
    <t>Andrea Hoffman</t>
  </si>
  <si>
    <t>CFPC - Bois</t>
  </si>
  <si>
    <t>Chambésy</t>
  </si>
  <si>
    <t>Béatrice De Haller</t>
  </si>
  <si>
    <t>Belén Ferrier &amp; Mohamed Kahlia</t>
  </si>
  <si>
    <t>Toile urbaine 2021</t>
  </si>
  <si>
    <r>
      <t xml:space="preserve">Costumier.ière </t>
    </r>
    <r>
      <rPr>
        <b/>
        <color rgb="FFFF0000"/>
        <sz val="16"/>
        <rFont val="Simplon Norm"/>
      </rPr>
      <t>et accessoiriste costumes</t>
    </r>
  </si>
  <si>
    <t>Catherine et Aurélie (fille) Nayener</t>
  </si>
  <si>
    <t>Emailleur</t>
  </si>
  <si>
    <t>Catherine Schmeer</t>
  </si>
  <si>
    <r>
      <t xml:space="preserve">Graveuse </t>
    </r>
    <r>
      <rPr>
        <b/>
        <color rgb="FFFF0000"/>
        <sz val="16"/>
        <rFont val="Simplon Norm"/>
      </rPr>
      <t>taille-douce</t>
    </r>
  </si>
  <si>
    <t>Christophe Blandenier</t>
  </si>
  <si>
    <t>Claudio Colucci</t>
  </si>
  <si>
    <t>Daniel Fauchez</t>
  </si>
  <si>
    <t>Emmanuelle Bronzino</t>
  </si>
  <si>
    <t>Emmanuelle Zem Rohner</t>
  </si>
  <si>
    <t>Fabienne Panelati</t>
  </si>
  <si>
    <t>Fabienne Scandurra</t>
  </si>
  <si>
    <t>François Lebeau</t>
  </si>
  <si>
    <r>
      <t xml:space="preserve">Sculpteur </t>
    </r>
    <r>
      <rPr>
        <b/>
        <color rgb="FFFF0000"/>
        <sz val="16"/>
        <rFont val="Simplon Norm"/>
      </rPr>
      <t>sur bois</t>
    </r>
  </si>
  <si>
    <t>Igor Siebold</t>
  </si>
  <si>
    <t>Jane Ihne</t>
  </si>
  <si>
    <t xml:space="preserve">Jean-Luc et Matthieu Barro </t>
  </si>
  <si>
    <t>Jean-Michel Staudhammer</t>
  </si>
  <si>
    <t>Jérôme Ducimtière</t>
  </si>
  <si>
    <t>Laurent Jolliet</t>
  </si>
  <si>
    <t>Marina Magnin</t>
  </si>
  <si>
    <t>Michel Gillabert</t>
  </si>
  <si>
    <t>Michel Magnin</t>
  </si>
  <si>
    <t>Nina Mathèz-Loïc</t>
  </si>
  <si>
    <t>Olivier Arnaud</t>
  </si>
  <si>
    <t>Oran Gisbson</t>
  </si>
  <si>
    <t>Peter Kammermann</t>
  </si>
  <si>
    <t>Philippe Cartan</t>
  </si>
  <si>
    <t>Philippe Truan</t>
  </si>
  <si>
    <t>Simon Dubouloz</t>
  </si>
  <si>
    <t>Stéphane Dentand</t>
  </si>
  <si>
    <t>Stéphane Urfer</t>
  </si>
  <si>
    <t>Sylvia Magnin-Blondin</t>
  </si>
  <si>
    <t>Sylvio Asseo</t>
  </si>
  <si>
    <t>Thomas &amp; Federica Orth</t>
  </si>
  <si>
    <t>Valentin Cerutti</t>
  </si>
  <si>
    <t>Valérie Hangel (Jaton)</t>
  </si>
  <si>
    <t>Vincent Du Bois</t>
  </si>
  <si>
    <t>Yves Schwarz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</si>
</sst>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General &quot;artisan·e·s&quot;"/>
    <numFmt numFmtId="165" formatCode="General&quot;/59&quot;"/>
    <numFmt numFmtId="166" formatCode="&quot;+&quot; 0%"/>
  </numFmts>
  <fonts count="85" x14ac:knownFonts="1">
    <font>
      <color theme="1"/>
      <family val="2"/>
      <scheme val="minor"/>
      <sz val="11"/>
      <name val="Calibri"/>
    </font>
    <font>
      <color theme="1"/>
      <scheme val="minor"/>
      <sz val="12"/>
      <name val="Calibri"/>
    </font>
    <font>
      <color theme="1"/>
      <family val="2"/>
      <scheme val="minor"/>
      <sz val="14"/>
      <name val="Calibri"/>
    </font>
    <font>
      <b/>
      <color theme="1"/>
      <sz val="20"/>
      <name val="Simplon Norm"/>
    </font>
    <font>
      <b/>
      <color theme="1"/>
      <sz val="16"/>
      <name val="Simplon Norm"/>
    </font>
    <font>
      <b/>
      <color theme="1"/>
      <sz val="14"/>
      <name val="Simplon Norm"/>
    </font>
    <font>
      <color theme="1"/>
      <family val="2"/>
      <scheme val="minor"/>
      <sz val="16"/>
      <name val="Calibri"/>
    </font>
    <font>
      <b/>
      <color theme="0"/>
      <sz val="16"/>
      <name val="Simplon Norm"/>
    </font>
    <font>
      <b/>
      <color theme="0"/>
      <family val="2"/>
      <scheme val="minor"/>
      <sz val="16"/>
      <name val="Calibri"/>
    </font>
    <font>
      <color theme="1"/>
      <sz val="15"/>
      <name val="Simplon Norm"/>
    </font>
    <font>
      <color theme="1"/>
      <sz val="16"/>
      <name val="Simplon Norm"/>
    </font>
    <font>
      <color rgb="FFFF0000"/>
      <family val="2"/>
      <scheme val="minor"/>
      <sz val="12"/>
      <name val="Calibri"/>
    </font>
    <font>
      <b/>
      <color theme="1"/>
      <family val="2"/>
      <scheme val="minor"/>
      <sz val="17"/>
      <name val="Calibri"/>
    </font>
    <font>
      <b/>
      <color rgb="FFFF0000"/>
      <sz val="16"/>
      <name val="Simplon Norm"/>
    </font>
    <font>
      <color rgb="FFFF0000"/>
      <sz val="16"/>
      <name val="Simplon Norm"/>
    </font>
    <font>
      <color rgb="FFFF0000"/>
      <sz val="15"/>
      <name val="Simplon Norm"/>
    </font>
    <font>
      <color rgb="FF000000"/>
      <sz val="16"/>
      <name val="SimplonNorm"/>
    </font>
    <font>
      <sz val="15"/>
      <name val="Simplon Norm"/>
    </font>
    <font>
      <color theme="1"/>
      <sz val="12"/>
      <name val="Simplon Norm"/>
    </font>
    <font>
      <b/>
      <color theme="0"/>
      <sz val="48"/>
      <name val="Simplon Norm"/>
    </font>
    <font>
      <b/>
      <color theme="0"/>
      <sz val="36"/>
      <name val="Simplon Norm"/>
    </font>
    <font>
      <color theme="1"/>
      <sz val="20"/>
      <name val="Simplon Norm"/>
    </font>
    <font>
      <b/>
      <color rgb="FFC00000"/>
      <sz val="48"/>
      <name val="Simplon Norm"/>
    </font>
    <font>
      <b/>
      <color theme="1"/>
      <family val="2"/>
      <scheme val="minor"/>
      <sz val="18"/>
      <name val="Calibri"/>
    </font>
    <font>
      <b/>
      <color theme="0"/>
      <sz val="14"/>
      <name val="Simplon Norm"/>
    </font>
    <font>
      <b/>
      <color theme="1"/>
      <family val="2"/>
      <scheme val="minor"/>
      <sz val="12"/>
      <name val="Calibri"/>
    </font>
    <font>
      <color theme="0"/>
      <family val="2"/>
      <scheme val="minor"/>
      <sz val="12"/>
      <name val="Calibri"/>
    </font>
    <font>
      <b/>
      <color theme="0"/>
      <sz val="24"/>
      <name val="Simplon Norm"/>
    </font>
    <font>
      <color theme="1"/>
      <family val="2"/>
      <scheme val="minor"/>
      <sz val="28"/>
      <name val="Calibri"/>
    </font>
    <font>
      <b/>
      <color rgb="FFC00000"/>
      <sz val="42"/>
      <name val="Simplon Norm"/>
    </font>
    <font>
      <color theme="1"/>
      <family val="2"/>
      <scheme val="minor"/>
      <sz val="42"/>
      <name val="Calibri"/>
    </font>
    <font>
      <b/>
      <color theme="1"/>
      <family val="2"/>
      <scheme val="minor"/>
      <sz val="42"/>
      <name val="Calibri"/>
    </font>
    <font>
      <b/>
      <color theme="0"/>
      <sz val="42"/>
      <name val="Simplon Norm"/>
    </font>
    <font>
      <color theme="0"/>
      <family val="2"/>
      <scheme val="minor"/>
      <sz val="28"/>
      <name val="Calibri"/>
    </font>
    <font>
      <color theme="0"/>
      <family val="2"/>
      <scheme val="minor"/>
      <sz val="42"/>
      <name val="Calibri"/>
    </font>
    <font>
      <color theme="1"/>
      <family val="2"/>
      <sz val="20"/>
      <name val="Arial"/>
    </font>
    <font>
      <b/>
      <color theme="0"/>
      <sz val="20"/>
      <name val="Simplon Norm"/>
    </font>
    <font>
      <b/>
      <color theme="1"/>
      <family val="2"/>
      <scheme val="minor"/>
      <sz val="22"/>
      <name val="Calibri"/>
    </font>
    <font>
      <b/>
      <color theme="1"/>
      <family val="2"/>
      <scheme val="minor"/>
      <sz val="16"/>
      <name val="Calibri"/>
    </font>
    <font>
      <color rgb="FF404040"/>
      <sz val="14"/>
      <name val="Simplon Norm"/>
    </font>
    <font>
      <color theme="1"/>
      <sz val="14"/>
      <name val="Simplon Norm"/>
    </font>
    <font>
      <color theme="1"/>
      <family val="2"/>
      <scheme val="minor"/>
      <sz val="12"/>
      <name val="Calibri"/>
    </font>
    <font>
      <color rgb="FF404040"/>
      <sz val="12"/>
      <name val="Simplon Norm"/>
    </font>
    <font>
      <color rgb="FF404040"/>
      <sz val="12"/>
      <name val="SimplonNorm"/>
    </font>
    <font>
      <color theme="1"/>
      <sz val="12"/>
      <name val="Simplon Norm Light"/>
    </font>
    <font>
      <b/>
      <color theme="0"/>
      <sz val="24"/>
      <name val="Simplon Norm Light"/>
    </font>
    <font>
      <b/>
      <sz val="14"/>
      <name val="Simplon Norm Light"/>
    </font>
    <font>
      <b/>
      <sz val="16"/>
      <name val="Simplon Norm Light"/>
    </font>
    <font>
      <sz val="16"/>
      <name val="Simplon Norm Light"/>
    </font>
    <font>
      <sz val="12"/>
      <name val="Simplon Norm Light"/>
    </font>
    <font>
      <b/>
      <color theme="1"/>
      <sz val="12"/>
      <name val="Simplon Norm Light"/>
    </font>
    <font>
      <b/>
      <color theme="0"/>
      <sz val="18"/>
      <name val="Simplon Norm Light"/>
    </font>
    <font>
      <color theme="1"/>
      <sz val="18"/>
      <name val="Simplon Norm Light"/>
    </font>
    <font>
      <color theme="5" tint="0.5999938962981048"/>
      <sz val="12"/>
      <name val="Simplon Norm Light"/>
    </font>
    <font>
      <sz val="18"/>
      <name val="Simplon Norm Light"/>
    </font>
    <font>
      <b/>
      <color theme="0"/>
      <family val="2"/>
      <sz val="20"/>
      <name val="Arial"/>
    </font>
    <font>
      <b/>
      <color theme="1"/>
      <family val="2"/>
      <sz val="20"/>
      <name val="Arial"/>
    </font>
    <font>
      <color theme="1"/>
      <sz val="18"/>
      <name val="Simplon Norm"/>
    </font>
    <font>
      <b/>
      <color theme="0"/>
      <sz val="18"/>
      <name val="Simplon Norm"/>
    </font>
    <font>
      <color theme="1"/>
      <family val="2"/>
      <scheme val="minor"/>
      <sz val="18"/>
      <name val="Calibri"/>
    </font>
    <font>
      <color theme="1"/>
      <family val="2"/>
      <sz val="18"/>
      <name val="Arial"/>
    </font>
    <font>
      <color rgb="FFFF0000"/>
      <family val="2"/>
      <scheme val="minor"/>
      <sz val="16"/>
      <name val="Calibri"/>
    </font>
    <font>
      <b/>
      <color theme="1"/>
      <sz val="18"/>
      <name val="Simplon Norm"/>
    </font>
    <font>
      <color theme="1"/>
      <family val="2"/>
      <scheme val="minor"/>
      <sz val="17"/>
      <name val="Calibri"/>
    </font>
    <font>
      <b/>
      <color theme="0" tint="-0.0499893185216834"/>
      <sz val="16"/>
      <name val="Simplon Norm"/>
    </font>
    <font>
      <b/>
      <color rgb="FFC00000"/>
      <sz val="16"/>
      <name val="Simplon Norm"/>
    </font>
    <font>
      <b/>
      <color theme="0" tint="-0.0499893185216834"/>
      <family val="2"/>
      <scheme val="minor"/>
      <sz val="16"/>
      <name val="Calibri"/>
    </font>
    <font>
      <b/>
      <color theme="0" tint="-0.0499893185216834"/>
      <sz val="14"/>
      <name val="Simplon Norm"/>
    </font>
    <font>
      <b/>
      <color rgb="FFFF0000"/>
      <family val="2"/>
      <scheme val="minor"/>
      <sz val="48"/>
      <name val="Calibri"/>
    </font>
    <font>
      <b/>
      <color theme="0"/>
      <family val="2"/>
      <scheme val="minor"/>
      <sz val="14"/>
      <name val="Calibri"/>
    </font>
    <font>
      <color theme="1"/>
      <family val="2"/>
      <scheme val="minor"/>
      <sz val="20"/>
      <name val="Calibri"/>
    </font>
    <font>
      <b/>
      <color theme="0"/>
      <sz val="22"/>
      <name val="Simplon Norm"/>
    </font>
    <font>
      <b/>
      <sz val="14"/>
      <name val="Simplon Norm"/>
    </font>
    <font>
      <sz val="16"/>
      <name val="Simplon Norm"/>
    </font>
    <font>
      <color rgb="FFFF0000"/>
      <sz val="12"/>
      <name val="Simplon Norm"/>
    </font>
    <font>
      <b/>
      <color theme="1"/>
      <family val="2"/>
      <scheme val="minor"/>
      <sz val="14"/>
      <name val="Calibri"/>
    </font>
    <font>
      <b/>
      <color theme="0"/>
      <sz val="26"/>
      <name val="Simplon Norm"/>
    </font>
    <font>
      <b/>
      <color theme="0"/>
      <sz val="12"/>
      <name val="Simplon Norm"/>
    </font>
    <font>
      <color theme="0"/>
      <sz val="14"/>
      <name val="Simplon Norm"/>
    </font>
    <font>
      <color theme="1"/>
      <sz val="10"/>
      <name val="Simplon Norm"/>
    </font>
    <font>
      <b/>
      <color rgb="FFFF0000"/>
      <family val="2"/>
      <scheme val="minor"/>
      <sz val="16"/>
      <name val="Calibri"/>
    </font>
    <font>
      <b/>
      <sz val="16"/>
      <name val="Simplon Norm"/>
    </font>
    <font>
      <b/>
      <color theme="1"/>
      <family val="2"/>
      <scheme val="minor"/>
      <sz val="24"/>
      <name val="Calibri"/>
    </font>
    <font>
      <b/>
      <color theme="0"/>
      <family val="2"/>
      <scheme val="minor"/>
      <sz val="12"/>
      <name val="Calibri"/>
    </font>
    <font>
      <b/>
      <color rgb="FFFF0000"/>
      <family val="2"/>
      <scheme val="minor"/>
      <sz val="12"/>
      <name val="Calibri"/>
    </font>
  </fonts>
  <fills count="50">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theme="8" tint="0.5999938962981048"/>
        <bgColor indexed="64"/>
      </patternFill>
    </fill>
    <fill>
      <patternFill patternType="solid">
        <fgColor theme="9" tint="0.7999816888943144"/>
        <bgColor indexed="64"/>
      </patternFill>
    </fill>
    <fill>
      <patternFill patternType="solid">
        <fgColor rgb="FFFB93BD"/>
        <bgColor indexed="64"/>
      </patternFill>
    </fill>
    <fill>
      <patternFill patternType="solid">
        <fgColor theme="5" tint="0.3999755851924192"/>
        <bgColor indexed="64"/>
      </patternFill>
    </fill>
    <fill>
      <patternFill patternType="solid">
        <fgColor rgb="FF935CA7"/>
        <bgColor indexed="64"/>
      </patternFill>
    </fill>
    <fill>
      <patternFill patternType="solid">
        <fgColor rgb="FFBDD7EF"/>
        <bgColor indexed="64"/>
      </patternFill>
    </fill>
    <fill>
      <patternFill patternType="solid">
        <fgColor rgb="FFF5B084"/>
        <bgColor indexed="64"/>
      </patternFill>
    </fill>
    <fill>
      <patternFill patternType="solid">
        <fgColor rgb="FFE2F0DB"/>
        <bgColor indexed="64"/>
      </patternFill>
    </fill>
    <fill>
      <patternFill patternType="solid">
        <fgColor rgb="FFD1ACFA"/>
        <bgColor indexed="64"/>
      </patternFill>
    </fill>
    <fill>
      <patternFill patternType="solid">
        <fgColor theme="5" tint="0.5999938962981048"/>
        <bgColor indexed="64"/>
      </patternFill>
    </fill>
    <fill>
      <patternFill patternType="solid">
        <fgColor rgb="FFFF0000"/>
        <bgColor indexed="64"/>
      </patternFill>
    </fill>
    <fill>
      <patternFill patternType="solid">
        <fgColor theme="9"/>
        <bgColor theme="7"/>
      </patternFill>
    </fill>
    <fill>
      <patternFill patternType="solid">
        <fgColor rgb="FFFFC000"/>
        <bgColor theme="7"/>
      </patternFill>
    </fill>
    <fill>
      <patternFill patternType="solid">
        <fgColor rgb="FFC00000"/>
        <bgColor theme="7"/>
      </patternFill>
    </fill>
    <fill>
      <patternFill patternType="solid">
        <fgColor theme="7"/>
        <bgColor indexed="64"/>
      </patternFill>
    </fill>
    <fill>
      <patternFill patternType="solid">
        <fgColor rgb="FF00B050"/>
        <bgColor indexed="64"/>
      </patternFill>
    </fill>
    <fill>
      <patternFill patternType="solid">
        <fgColor theme="5" tint="0.7999816888943144"/>
        <bgColor indexed="64"/>
      </patternFill>
    </fill>
    <fill>
      <patternFill patternType="solid">
        <fgColor rgb="FF92D050"/>
        <bgColor indexed="64"/>
      </patternFill>
    </fill>
    <fill>
      <patternFill patternType="solid">
        <fgColor theme="4" tint="0.7999816888943144"/>
        <bgColor indexed="64"/>
      </patternFill>
    </fill>
    <fill>
      <patternFill patternType="solid">
        <fgColor rgb="FFC00000"/>
        <bgColor rgb="FFC00000"/>
      </patternFill>
    </fill>
    <fill>
      <patternFill patternType="solid">
        <fgColor theme="7" tint="0.5999938962981048"/>
        <bgColor theme="7" tint="0.5999938962981048"/>
      </patternFill>
    </fill>
    <fill>
      <patternFill patternType="solid">
        <fgColor theme="8"/>
        <bgColor indexed="64"/>
      </patternFill>
    </fill>
    <fill>
      <patternFill patternType="solid">
        <fgColor theme="5"/>
        <bgColor indexed="64"/>
      </patternFill>
    </fill>
    <fill>
      <patternFill patternType="solid">
        <fgColor theme="9"/>
        <bgColor indexed="64"/>
      </patternFill>
    </fill>
    <fill>
      <patternFill patternType="solid">
        <fgColor theme="4"/>
        <bgColor indexed="64"/>
      </patternFill>
    </fill>
    <fill>
      <patternFill patternType="solid">
        <fgColor theme="5" tint="-0.249977111117893"/>
        <bgColor indexed="64"/>
      </patternFill>
    </fill>
    <fill>
      <patternFill patternType="solid">
        <fgColor rgb="FFFFC000"/>
        <bgColor indexed="64"/>
      </patternFill>
    </fill>
    <fill>
      <patternFill patternType="solid">
        <fgColor rgb="FFB62B36"/>
        <bgColor indexed="64"/>
      </patternFill>
    </fill>
    <fill>
      <patternFill patternType="solid">
        <fgColor theme="7" tint="0.7999816888943144"/>
        <bgColor indexed="64"/>
      </patternFill>
    </fill>
    <fill>
      <patternFill patternType="solid">
        <fgColor rgb="FFD2B1FA"/>
        <bgColor indexed="64"/>
      </patternFill>
    </fill>
    <fill>
      <patternFill patternType="solid">
        <fgColor rgb="FFC6E0B4"/>
        <bgColor indexed="64"/>
      </patternFill>
    </fill>
    <fill>
      <patternFill patternType="solid">
        <fgColor theme="8" tint="0.7999816888943144"/>
        <bgColor indexed="64"/>
      </patternFill>
    </fill>
    <fill>
      <patternFill patternType="solid">
        <fgColor theme="2" tint="-0.0999786370433668"/>
        <bgColor indexed="64"/>
      </patternFill>
    </fill>
    <fill>
      <patternFill patternType="solid">
        <fgColor theme="9" tint="0.3999755851924192"/>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theme="4" tint="0.5999938962981048"/>
        <bgColor indexed="64"/>
      </patternFill>
    </fill>
    <fill>
      <patternFill patternType="solid">
        <fgColor rgb="FFA84DEE"/>
        <bgColor indexed="64"/>
      </patternFill>
    </fill>
    <fill>
      <patternFill patternType="solid">
        <fgColor theme="0"/>
        <bgColor indexed="64"/>
      </patternFill>
    </fill>
    <fill>
      <patternFill patternType="solid">
        <fgColor theme="7"/>
        <bgColor theme="7"/>
      </patternFill>
    </fill>
    <fill>
      <patternFill patternType="solid">
        <fgColor indexed="2"/>
        <bgColor indexed="2"/>
      </patternFill>
    </fill>
    <fill>
      <patternFill patternType="solid">
        <fgColor rgb="FF00B0F0"/>
        <bgColor rgb="FF00B0F0"/>
      </patternFill>
    </fill>
    <fill>
      <patternFill patternType="solid">
        <fgColor theme="9"/>
        <bgColor theme="9"/>
      </patternFill>
    </fill>
    <fill>
      <patternFill patternType="solid">
        <fgColor rgb="FF7030A0"/>
        <bgColor rgb="FF7030A0"/>
      </patternFill>
    </fill>
    <fill>
      <patternFill patternType="solid">
        <fgColor indexed="5"/>
        <bgColor indexed="5"/>
      </patternFill>
    </fill>
    <fill>
      <patternFill patternType="solid">
        <fgColor theme="4" tint="0.5999938962981048"/>
        <bgColor theme="4" tint="0.5999938962981048"/>
      </patternFill>
    </fill>
  </fills>
  <borders count="58">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right style="thin"/>
      <top style="thin"/>
      <bottom style="thin"/>
      <diagonal/>
    </border>
    <border>
      <left/>
      <right/>
      <top/>
      <bottom style="thin"/>
      <diagonal/>
    </border>
    <border>
      <left style="thin"/>
      <right style="thin"/>
      <top style="thin"/>
      <bottom/>
      <diagonal/>
    </border>
    <border>
      <left/>
      <right style="thin"/>
      <top/>
      <bottom/>
      <diagonal/>
    </border>
    <border>
      <left style="medium">
        <color indexed="64"/>
      </left>
      <right style="thin">
        <color indexed="64"/>
      </right>
      <top style="medium">
        <color indexed="64"/>
      </top>
      <bottom style="thin">
        <color indexed="64"/>
      </bottom>
      <diagonal/>
    </border>
    <border>
      <left style="thin"/>
      <right style="medium"/>
      <top style="medium"/>
      <bottom style="thin"/>
      <diagonal/>
    </border>
    <border>
      <left style="medium"/>
      <right style="thin"/>
      <top style="thin"/>
      <bottom/>
      <diagonal/>
    </border>
    <border>
      <left style="thin"/>
      <right style="medium"/>
      <top style="thin"/>
      <bottom/>
      <diagonal/>
    </border>
    <border>
      <left style="medium">
        <color indexed="64"/>
      </left>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right style="thin"/>
      <top/>
      <bottom style="thin"/>
      <diagonal/>
    </border>
    <border>
      <left style="thin"/>
      <right style="medium"/>
      <top/>
      <bottom style="thin"/>
      <diagonal/>
    </border>
    <border>
      <left style="medium"/>
      <right style="thin"/>
      <top style="thin"/>
      <bottom style="thin"/>
      <diagonal/>
    </border>
    <border>
      <left style="thin"/>
      <right style="medium"/>
      <top style="thin"/>
      <bottom style="thin"/>
      <diagonal/>
    </border>
    <border>
      <left style="medium"/>
      <right style="thin"/>
      <top style="thin"/>
      <bottom style="medium"/>
      <diagonal/>
    </border>
    <border>
      <left style="thin">
        <color indexed="64"/>
      </left>
      <right style="medium">
        <color indexed="64"/>
      </right>
      <top style="thin">
        <color indexed="64"/>
      </top>
      <bottom style="medium">
        <color indexed="64"/>
      </bottom>
      <diagonal/>
    </border>
    <border>
      <left style="thin"/>
      <right/>
      <top style="thin"/>
      <bottom style="thin"/>
      <diagonal/>
    </border>
    <border>
      <left/>
      <right/>
      <top style="thin"/>
      <bottom style="thin"/>
      <diagonal/>
    </border>
    <border>
      <left/>
      <right style="thin"/>
      <top style="thin"/>
      <bottom style="thin"/>
      <diagonal/>
    </border>
    <border>
      <left style="medium">
        <color indexed="64"/>
      </left>
      <right style="medium">
        <color indexed="64"/>
      </right>
      <top style="medium">
        <color indexed="64"/>
      </top>
      <bottom style="thin"/>
      <diagonal/>
    </border>
    <border>
      <left style="medium">
        <color indexed="64"/>
      </left>
      <right style="medium">
        <color indexed="64"/>
      </right>
      <top style="thin"/>
      <bottom style="thin"/>
      <diagonal/>
    </border>
    <border>
      <left style="thin"/>
      <right/>
      <top/>
      <bottom/>
      <diagonal/>
    </border>
    <border>
      <left style="medium">
        <color indexed="64"/>
      </left>
      <right style="medium">
        <color indexed="64"/>
      </right>
      <top style="thin"/>
      <bottom style="medium">
        <color indexed="64"/>
      </bottom>
      <diagonal/>
    </border>
    <border>
      <left/>
      <right style="thin"/>
      <top style="thin"/>
      <bottom/>
      <diagonal/>
    </border>
    <border>
      <left/>
      <right/>
      <top/>
      <bottom style="medium"/>
      <diagonal/>
    </border>
    <border>
      <left style="medium">
        <color indexed="64"/>
      </left>
      <right/>
      <top/>
      <bottom/>
      <diagonal/>
    </border>
    <border>
      <left style="medium"/>
      <right/>
      <top style="medium"/>
      <bottom/>
      <diagonal/>
    </border>
    <border>
      <left style="medium"/>
      <right/>
      <top/>
      <bottom style="medium"/>
      <diagonal/>
    </border>
    <border>
      <left style="thin"/>
      <right style="thin"/>
      <top style="medium"/>
      <bottom style="thin"/>
      <diagonal/>
    </border>
    <border>
      <left style="thin"/>
      <right style="thin"/>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right style="thin"/>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medium"/>
      <top/>
      <bottom style="medium"/>
      <diagonal/>
    </border>
    <border>
      <left style="medium"/>
      <right style="medium"/>
      <top style="medium"/>
      <bottom style="medium"/>
      <diagonal/>
    </border>
    <border>
      <left style="medium"/>
      <right/>
      <top style="medium"/>
      <bottom style="thin"/>
      <diagonal/>
    </border>
    <border>
      <left style="medium"/>
      <right/>
      <top style="thin"/>
      <bottom style="thin"/>
      <diagonal/>
    </border>
    <border>
      <left style="medium"/>
      <right/>
      <top style="thin"/>
      <bottom/>
      <diagonal/>
    </border>
    <border>
      <left style="thin"/>
      <right style="thin"/>
      <top/>
      <bottom style="medium"/>
      <diagonal/>
    </border>
    <border>
      <left style="thin"/>
      <right/>
      <top/>
      <bottom style="thin"/>
      <diagonal/>
    </border>
    <border>
      <left style="thin"/>
      <right/>
      <top/>
      <bottom style="medium"/>
      <diagonal/>
    </border>
    <border>
      <left style="thin"/>
      <right style="medium"/>
      <top/>
      <bottom style="medium"/>
      <diagonal/>
    </border>
    <border>
      <left style="medium"/>
      <right style="medium">
        <color indexed="64"/>
      </right>
      <top style="thin"/>
      <bottom/>
      <diagonal/>
    </border>
    <border>
      <left/>
      <right/>
      <top style="medium"/>
      <bottom/>
      <diagonal/>
    </border>
    <border>
      <left/>
      <right style="medium"/>
      <top style="medium"/>
      <bottom/>
      <diagonal/>
    </border>
    <border>
      <left style="medium"/>
      <right/>
      <top/>
      <bottom style="thin"/>
      <diagonal/>
    </border>
    <border>
      <left/>
      <right style="medium"/>
      <top/>
      <bottom style="thin"/>
      <diagonal/>
    </border>
    <border>
      <left/>
      <right style="medium"/>
      <top/>
      <bottom/>
      <diagonal/>
    </border>
    <border>
      <left/>
      <right/>
      <top/>
      <bottom style="thin">
        <color theme="1"/>
      </bottom>
      <diagonal/>
    </border>
    <border>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s>
  <cellStyleXfs count="1">
    <xf numFmtId="0" fontId="0" fillId="0" borderId="0"/>
  </cellStyleXfs>
  <cellXfs count="441">
    <xf numFmtId="0" fontId="0" fillId="0" borderId="0" xfId="0"/>
    <xf numFmtId="0" fontId="1" fillId="0" borderId="0" xfId="0" applyFont="1" applyAlignment="1">
      <alignment horizontal="left"/>
    </xf>
    <xf numFmtId="0" fontId="1" fillId="0" borderId="0" xfId="0" applyFont="1" applyAlignment="1">
      <alignment vertical="top"/>
    </xf>
    <xf numFmtId="0" fontId="1" fillId="0" borderId="0" xfId="0" applyFont="1" applyAlignment="1">
      <alignment horizontal="left" vertical="top"/>
    </xf>
    <xf numFmtId="0" fontId="2" fillId="0" borderId="0" xfId="0" applyFont="1" applyAlignment="1">
      <alignment horizontal="left"/>
    </xf>
    <xf numFmtId="0" fontId="3" fillId="2" borderId="0" xfId="0" applyFont="1" applyFill="1" applyAlignment="1">
      <alignment vertical="center"/>
    </xf>
    <xf numFmtId="0" fontId="3" fillId="0" borderId="0" xfId="0" applyFont="1" applyAlignment="1">
      <alignment vertical="center"/>
    </xf>
    <xf numFmtId="0" fontId="4" fillId="0" borderId="0" xfId="0" applyFont="1" applyAlignment="1">
      <alignment horizontal="center" vertical="center"/>
    </xf>
    <xf numFmtId="0" fontId="5" fillId="0" borderId="0" xfId="0" applyFont="1"/>
    <xf numFmtId="0" fontId="6" fillId="0" borderId="0" xfId="0" applyFont="1"/>
    <xf numFmtId="0" fontId="7" fillId="3" borderId="0" xfId="0" applyFont="1" applyFill="1" applyAlignment="1">
      <alignment horizontal="center" vertical="center"/>
    </xf>
    <xf numFmtId="0" fontId="7" fillId="3" borderId="0" xfId="0" applyFont="1" applyFill="1" applyAlignment="1">
      <alignment horizontal="left" vertical="center"/>
    </xf>
    <xf numFmtId="0" fontId="8" fillId="3" borderId="0" xfId="0" applyFont="1" applyFill="1" applyAlignment="1">
      <alignment horizontal="center" vertical="center"/>
    </xf>
    <xf numFmtId="0" fontId="1" fillId="0" borderId="0" xfId="0" applyFont="1" applyAlignment="1">
      <alignment horizontal="center" vertical="center"/>
    </xf>
    <xf numFmtId="0" fontId="9" fillId="0" borderId="0" xfId="0" applyFont="1" applyAlignment="1">
      <alignment vertical="center"/>
    </xf>
    <xf numFmtId="0" fontId="9"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10" fillId="4" borderId="0" xfId="0" applyFont="1" applyFill="1" applyAlignment="1">
      <alignment horizontal="left" vertical="center"/>
    </xf>
    <xf numFmtId="0" fontId="6" fillId="0" borderId="0" xfId="0" applyFont="1" applyAlignment="1">
      <alignment horizontal="center" vertical="center"/>
    </xf>
    <xf numFmtId="0" fontId="11" fillId="0" borderId="0" xfId="0" applyFont="1" applyAlignment="1">
      <alignment horizontal="center" vertical="center"/>
    </xf>
    <xf numFmtId="0" fontId="10" fillId="0" borderId="0" xfId="0" applyFont="1" applyAlignment="1">
      <alignment horizontal="left" vertical="center"/>
    </xf>
    <xf numFmtId="0" fontId="10" fillId="5" borderId="0" xfId="0" applyFont="1" applyFill="1" applyAlignment="1">
      <alignment horizontal="left" vertical="center"/>
    </xf>
    <xf numFmtId="0" fontId="10" fillId="0" borderId="0" xfId="0" applyFont="1" applyAlignment="1">
      <alignment horizontal="left" vertical="center" wrapText="1"/>
    </xf>
    <xf numFmtId="0" fontId="6" fillId="5" borderId="0" xfId="0" applyFont="1" applyFill="1" applyAlignment="1">
      <alignment horizontal="left" vertical="center"/>
    </xf>
    <xf numFmtId="0" fontId="12" fillId="0" borderId="2" xfId="0" applyFont="1" applyBorder="1" applyAlignment="1">
      <alignment horizontal="center" vertical="center"/>
    </xf>
    <xf numFmtId="0" fontId="9" fillId="0" borderId="0" xfId="0" applyFont="1" applyAlignment="1">
      <alignment vertical="center" wrapText="1"/>
    </xf>
    <xf numFmtId="0" fontId="6" fillId="6" borderId="0" xfId="0" applyFont="1" applyFill="1" applyAlignment="1">
      <alignment horizontal="left" vertical="center"/>
    </xf>
    <xf numFmtId="0" fontId="10" fillId="7" borderId="0" xfId="0" applyFont="1" applyFill="1" applyAlignment="1">
      <alignment horizontal="left" vertical="center"/>
    </xf>
    <xf numFmtId="0" fontId="11" fillId="0" borderId="0" xfId="0" applyFont="1"/>
    <xf numFmtId="0" fontId="6" fillId="8" borderId="0" xfId="0" applyFont="1" applyFill="1" applyAlignment="1">
      <alignment horizontal="left" vertical="center"/>
    </xf>
    <xf numFmtId="0" fontId="13" fillId="0" borderId="0" xfId="0" applyFont="1" applyAlignment="1">
      <alignment horizontal="left" vertical="center" wrapText="1"/>
    </xf>
    <xf numFmtId="0" fontId="10" fillId="8" borderId="0" xfId="0" applyFont="1" applyFill="1" applyAlignment="1">
      <alignment horizontal="left" vertical="center"/>
    </xf>
    <xf numFmtId="0" fontId="10" fillId="9" borderId="0" xfId="0" applyFont="1" applyFill="1" applyAlignment="1">
      <alignment horizontal="left" vertical="center"/>
    </xf>
    <xf numFmtId="0" fontId="10" fillId="10" borderId="0" xfId="0" applyFont="1" applyFill="1" applyAlignment="1">
      <alignment horizontal="left" vertical="center"/>
    </xf>
    <xf numFmtId="0" fontId="10" fillId="0" borderId="0" xfId="0" applyFont="1" applyAlignment="1">
      <alignment vertical="center" wrapText="1"/>
    </xf>
    <xf numFmtId="0" fontId="10" fillId="6" borderId="0" xfId="0" applyFont="1" applyFill="1" applyAlignment="1">
      <alignment horizontal="center" vertical="center"/>
    </xf>
    <xf numFmtId="0" fontId="10" fillId="11" borderId="0" xfId="0" applyFont="1" applyFill="1" applyAlignment="1">
      <alignment horizontal="left" vertical="center"/>
    </xf>
    <xf numFmtId="0" fontId="10" fillId="8" borderId="0" xfId="0" applyFont="1" applyFill="1" applyAlignment="1">
      <alignment horizontal="center" vertical="center"/>
    </xf>
    <xf numFmtId="0" fontId="10" fillId="4" borderId="0" xfId="0" applyFont="1" applyFill="1" applyAlignment="1">
      <alignment horizontal="center" vertical="center"/>
    </xf>
    <xf numFmtId="0" fontId="6" fillId="7" borderId="0" xfId="0" applyFont="1" applyFill="1" applyAlignment="1">
      <alignment horizontal="center" vertical="center"/>
    </xf>
    <xf numFmtId="0" fontId="10" fillId="5" borderId="0" xfId="0" applyFont="1" applyFill="1" applyAlignment="1">
      <alignment horizontal="center" vertical="center"/>
    </xf>
    <xf numFmtId="0" fontId="10" fillId="0" borderId="0" xfId="0" applyFont="1" applyAlignment="1">
      <alignment horizontal="left" vertical="top"/>
    </xf>
    <xf numFmtId="0" fontId="12" fillId="0" borderId="0" xfId="0" applyFont="1" applyAlignment="1">
      <alignment horizontal="center" vertical="center"/>
    </xf>
    <xf numFmtId="0" fontId="14" fillId="0" borderId="0" xfId="0" applyFont="1" applyAlignment="1">
      <alignment horizontal="left" vertical="center" wrapText="1"/>
    </xf>
    <xf numFmtId="0" fontId="9" fillId="12" borderId="0" xfId="0" applyFont="1" applyFill="1" applyAlignment="1">
      <alignment vertical="center"/>
    </xf>
    <xf numFmtId="0" fontId="9" fillId="12" borderId="1" xfId="0" applyFont="1" applyFill="1" applyBorder="1" applyAlignment="1">
      <alignment horizontal="center" vertical="center"/>
    </xf>
    <xf numFmtId="0" fontId="10" fillId="13" borderId="0" xfId="0" applyFont="1" applyFill="1" applyAlignment="1">
      <alignment horizontal="left" vertical="top"/>
    </xf>
    <xf numFmtId="0" fontId="15" fillId="2"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2" fillId="0" borderId="0" xfId="0" applyFont="1" applyAlignment="1">
      <alignment horizontal="left" wrapText="1"/>
    </xf>
    <xf numFmtId="0" fontId="16" fillId="0" borderId="0" xfId="0" applyFont="1"/>
    <xf numFmtId="0" fontId="1" fillId="14" borderId="0" xfId="0" applyFont="1" applyFill="1" applyAlignment="1">
      <alignment horizontal="left"/>
    </xf>
    <xf numFmtId="0" fontId="17" fillId="0" borderId="0" xfId="0" applyFont="1" applyAlignment="1">
      <alignment vertical="center" wrapText="1"/>
    </xf>
    <xf numFmtId="0" fontId="9" fillId="0" borderId="0" xfId="0" applyFont="1" applyAlignment="1">
      <alignment horizontal="center" vertical="center" wrapText="1"/>
    </xf>
    <xf numFmtId="0" fontId="18" fillId="0" borderId="0" xfId="0" applyFont="1" applyAlignment="1">
      <alignment vertical="center"/>
    </xf>
    <xf numFmtId="0" fontId="18" fillId="0" borderId="0" xfId="0" applyFont="1" applyAlignment="1">
      <alignment horizontal="center" vertical="center"/>
    </xf>
    <xf numFmtId="0" fontId="18" fillId="3" borderId="0" xfId="0" applyFont="1" applyFill="1" applyAlignment="1">
      <alignment vertical="center"/>
    </xf>
    <xf numFmtId="0" fontId="19" fillId="3" borderId="3" xfId="0" applyFont="1" applyFill="1" applyBorder="1" applyAlignment="1">
      <alignment horizontal="center" vertical="center"/>
    </xf>
    <xf numFmtId="0" fontId="20" fillId="3" borderId="0" xfId="0" applyFont="1" applyFill="1" applyAlignment="1">
      <alignment horizontal="center" vertical="center"/>
    </xf>
    <xf numFmtId="0" fontId="21" fillId="0" borderId="0" xfId="0" applyFont="1" applyAlignment="1">
      <alignment vertical="center"/>
    </xf>
    <xf numFmtId="0" fontId="7" fillId="3" borderId="2" xfId="0" applyFont="1" applyFill="1" applyBorder="1" applyAlignment="1">
      <alignment horizontal="center" vertical="center"/>
    </xf>
    <xf numFmtId="0" fontId="4" fillId="2" borderId="0" xfId="0" applyFont="1" applyFill="1" applyAlignment="1">
      <alignment vertical="center"/>
    </xf>
    <xf numFmtId="0" fontId="18" fillId="0" borderId="0" xfId="0" applyFont="1" applyAlignment="1">
      <alignment horizontal="left" vertical="center"/>
    </xf>
    <xf numFmtId="0" fontId="7" fillId="3" borderId="0" xfId="0" applyFont="1" applyFill="1" applyAlignment="1">
      <alignment horizontal="center" vertical="center" wrapText="1"/>
    </xf>
    <xf numFmtId="0" fontId="7" fillId="3" borderId="2" xfId="0" applyFont="1" applyFill="1" applyBorder="1" applyAlignment="1">
      <alignment horizontal="center" vertical="center" wrapText="1"/>
    </xf>
    <xf numFmtId="0" fontId="2" fillId="0" borderId="0" xfId="0" applyFont="1"/>
    <xf numFmtId="0" fontId="22" fillId="0" borderId="0" xfId="0" applyFont="1" applyAlignment="1">
      <alignment horizontal="center" vertical="center"/>
    </xf>
    <xf numFmtId="0" fontId="23" fillId="0" borderId="0" xfId="0" applyFont="1" applyAlignment="1">
      <alignment horizontal="center" vertical="center"/>
    </xf>
    <xf numFmtId="0" fontId="24" fillId="15" borderId="2" xfId="0" applyFont="1" applyFill="1" applyBorder="1" applyAlignment="1">
      <alignment horizontal="center" vertical="center" wrapText="1"/>
    </xf>
    <xf numFmtId="0" fontId="24" fillId="16" borderId="2" xfId="0" applyFont="1" applyFill="1" applyBorder="1" applyAlignment="1">
      <alignment horizontal="center" vertical="center" wrapText="1"/>
    </xf>
    <xf numFmtId="0" fontId="24" fillId="17" borderId="2" xfId="0" applyFont="1" applyFill="1" applyBorder="1" applyAlignment="1">
      <alignment horizontal="center" vertical="center" wrapText="1"/>
    </xf>
    <xf numFmtId="14" fontId="25" fillId="2" borderId="0" xfId="0" applyNumberFormat="1" applyFont="1" applyFill="1"/>
    <xf numFmtId="0" fontId="26" fillId="3" borderId="0" xfId="0" applyFont="1" applyFill="1"/>
    <xf numFmtId="0" fontId="24" fillId="3" borderId="2" xfId="0" applyFont="1" applyFill="1" applyBorder="1" applyAlignment="1">
      <alignment horizontal="center" vertical="center" wrapText="1"/>
    </xf>
    <xf numFmtId="0" fontId="27" fillId="3" borderId="0" xfId="0" applyFont="1" applyFill="1" applyAlignment="1">
      <alignment horizontal="center" vertical="center" wrapText="1"/>
    </xf>
    <xf numFmtId="0" fontId="28" fillId="0" borderId="0" xfId="0" applyFont="1"/>
    <xf numFmtId="0" fontId="29" fillId="0" borderId="0" xfId="0" applyFont="1" applyAlignment="1">
      <alignment horizontal="center" vertical="center" wrapText="1"/>
    </xf>
    <xf numFmtId="0" fontId="30" fillId="0" borderId="0" xfId="0" applyFont="1" applyAlignment="1">
      <alignment wrapText="1"/>
    </xf>
    <xf numFmtId="0" fontId="31" fillId="0" borderId="0" xfId="0" applyFont="1" applyAlignment="1">
      <alignment horizontal="center" vertical="center" wrapText="1"/>
    </xf>
    <xf numFmtId="0" fontId="32" fillId="17" borderId="2" xfId="0" applyFont="1" applyFill="1" applyBorder="1" applyAlignment="1">
      <alignment horizontal="center" vertical="center" wrapText="1"/>
    </xf>
    <xf numFmtId="14" fontId="31" fillId="2" borderId="0" xfId="0" applyNumberFormat="1" applyFont="1" applyFill="1" applyAlignment="1">
      <alignment wrapText="1"/>
    </xf>
    <xf numFmtId="0" fontId="33" fillId="3" borderId="0" xfId="0" applyFont="1" applyFill="1"/>
    <xf numFmtId="0" fontId="34" fillId="3" borderId="0" xfId="0" applyFont="1" applyFill="1" applyAlignment="1">
      <alignment wrapText="1"/>
    </xf>
    <xf numFmtId="0" fontId="32" fillId="3" borderId="2" xfId="0" applyFont="1" applyFill="1" applyBorder="1" applyAlignment="1">
      <alignment horizontal="center" vertical="center" wrapText="1"/>
    </xf>
    <xf numFmtId="0" fontId="32" fillId="3" borderId="0" xfId="0" applyFont="1" applyFill="1" applyAlignment="1">
      <alignment horizontal="center" vertical="center" wrapText="1"/>
    </xf>
    <xf numFmtId="0" fontId="1" fillId="0" borderId="0" xfId="0" applyFont="1" applyAlignment="1">
      <alignment vertical="center"/>
    </xf>
    <xf numFmtId="0" fontId="35" fillId="0" borderId="0" xfId="0" applyFont="1" applyAlignment="1">
      <alignment vertical="center"/>
    </xf>
    <xf numFmtId="0" fontId="4" fillId="18" borderId="0" xfId="0" applyFont="1" applyFill="1" applyAlignment="1">
      <alignment vertical="center"/>
    </xf>
    <xf numFmtId="0" fontId="7" fillId="3" borderId="4" xfId="0" applyFont="1" applyFill="1" applyBorder="1" applyAlignment="1">
      <alignment horizontal="center" vertical="center" wrapText="1"/>
    </xf>
    <xf numFmtId="0" fontId="7" fillId="3" borderId="4" xfId="0" applyFont="1" applyFill="1" applyBorder="1" applyAlignment="1">
      <alignment horizontal="center" vertical="center"/>
    </xf>
    <xf numFmtId="0" fontId="18" fillId="0" borderId="0" xfId="0" applyFont="1"/>
    <xf numFmtId="0" fontId="36" fillId="3" borderId="0" xfId="0" applyFont="1" applyFill="1" applyAlignment="1">
      <alignment horizontal="center" vertical="center"/>
    </xf>
    <xf numFmtId="0" fontId="36" fillId="3" borderId="5" xfId="0" applyFont="1" applyFill="1" applyBorder="1" applyAlignment="1">
      <alignment horizontal="center" vertical="center"/>
    </xf>
    <xf numFmtId="0" fontId="36" fillId="3" borderId="2" xfId="0" applyFont="1" applyFill="1" applyBorder="1" applyAlignment="1">
      <alignment horizontal="center" vertical="center"/>
    </xf>
    <xf numFmtId="0" fontId="10" fillId="18" borderId="0" xfId="0" applyFont="1" applyFill="1" applyAlignment="1">
      <alignment vertical="center"/>
    </xf>
    <xf numFmtId="0" fontId="37" fillId="0" borderId="0" xfId="0" applyFont="1"/>
    <xf numFmtId="0" fontId="38" fillId="19" borderId="0" xfId="0" applyFont="1" applyFill="1" applyAlignment="1">
      <alignment vertical="center"/>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36" fillId="3" borderId="10" xfId="0" applyFont="1" applyFill="1" applyBorder="1" applyAlignment="1">
      <alignment horizontal="center" vertical="center"/>
    </xf>
    <xf numFmtId="0" fontId="36" fillId="3" borderId="11" xfId="0" applyFont="1" applyFill="1" applyBorder="1" applyAlignment="1">
      <alignment horizontal="center" vertical="center"/>
    </xf>
    <xf numFmtId="0" fontId="1" fillId="0" borderId="0" xfId="0" applyFont="1" applyAlignment="1">
      <alignment horizontal="left" vertical="center"/>
    </xf>
    <xf numFmtId="0" fontId="39" fillId="0" borderId="12" xfId="0" applyFont="1" applyBorder="1" applyAlignment="1">
      <alignment horizontal="left" vertical="center"/>
    </xf>
    <xf numFmtId="0" fontId="40" fillId="0" borderId="13" xfId="0" applyFont="1" applyBorder="1" applyAlignment="1">
      <alignment horizontal="left" vertical="center"/>
    </xf>
    <xf numFmtId="0" fontId="40" fillId="0" borderId="0" xfId="0" applyFont="1" applyAlignment="1">
      <alignment horizontal="left" vertical="center"/>
    </xf>
    <xf numFmtId="0" fontId="18" fillId="0" borderId="13" xfId="0" applyFont="1" applyBorder="1" applyAlignment="1">
      <alignment horizontal="left" vertical="center"/>
    </xf>
    <xf numFmtId="0" fontId="41" fillId="5" borderId="0" xfId="0" applyFont="1" applyFill="1" applyAlignment="1">
      <alignment horizontal="left" vertical="center"/>
    </xf>
    <xf numFmtId="0" fontId="39" fillId="0" borderId="14" xfId="0" applyFont="1" applyBorder="1" applyAlignment="1">
      <alignment horizontal="left" vertical="center"/>
    </xf>
    <xf numFmtId="0" fontId="40" fillId="0" borderId="15" xfId="0" applyFont="1" applyBorder="1" applyAlignment="1">
      <alignment horizontal="left" vertical="center"/>
    </xf>
    <xf numFmtId="0" fontId="39" fillId="19" borderId="14" xfId="0" applyFont="1" applyFill="1" applyBorder="1" applyAlignment="1">
      <alignment horizontal="left" vertical="center"/>
    </xf>
    <xf numFmtId="0" fontId="40" fillId="0" borderId="15" xfId="0" applyFont="1" applyBorder="1" applyAlignment="1">
      <alignment horizontal="left" vertical="center" wrapText="1"/>
    </xf>
    <xf numFmtId="0" fontId="18" fillId="0" borderId="15" xfId="0" applyFont="1" applyBorder="1" applyAlignment="1">
      <alignment horizontal="left" vertical="center"/>
    </xf>
    <xf numFmtId="0" fontId="39" fillId="20" borderId="14" xfId="0" applyFont="1" applyFill="1" applyBorder="1" applyAlignment="1">
      <alignment vertical="center" wrapText="1"/>
    </xf>
    <xf numFmtId="0" fontId="39" fillId="20" borderId="14" xfId="0" applyFont="1" applyFill="1" applyBorder="1" applyAlignment="1">
      <alignment horizontal="left" vertical="center" wrapText="1"/>
    </xf>
    <xf numFmtId="0" fontId="18" fillId="0" borderId="15" xfId="0" applyFont="1" applyBorder="1" applyAlignment="1">
      <alignment horizontal="left" vertical="center" wrapText="1"/>
    </xf>
    <xf numFmtId="0" fontId="39" fillId="2" borderId="14" xfId="0" applyFont="1" applyFill="1" applyBorder="1" applyAlignment="1">
      <alignment vertical="center" wrapText="1"/>
    </xf>
    <xf numFmtId="0" fontId="39" fillId="5" borderId="14" xfId="0" applyFont="1" applyFill="1" applyBorder="1" applyAlignment="1">
      <alignment horizontal="left" vertical="center"/>
    </xf>
    <xf numFmtId="0" fontId="42" fillId="0" borderId="14" xfId="0" applyFont="1" applyBorder="1" applyAlignment="1">
      <alignment horizontal="left" vertical="center"/>
    </xf>
    <xf numFmtId="0" fontId="42" fillId="19" borderId="14" xfId="0" applyFont="1" applyFill="1" applyBorder="1" applyAlignment="1">
      <alignment horizontal="left" vertical="center"/>
    </xf>
    <xf numFmtId="14" fontId="18" fillId="0" borderId="15" xfId="0" applyNumberFormat="1" applyFont="1" applyBorder="1" applyAlignment="1">
      <alignment horizontal="left" vertical="center"/>
    </xf>
    <xf numFmtId="0" fontId="42" fillId="0" borderId="14" xfId="0" applyFont="1" applyBorder="1" applyAlignment="1">
      <alignment horizontal="left" vertical="center" wrapText="1"/>
    </xf>
    <xf numFmtId="0" fontId="42" fillId="21" borderId="14" xfId="0" applyFont="1" applyFill="1" applyBorder="1" applyAlignment="1">
      <alignment horizontal="left" vertical="center" wrapText="1"/>
    </xf>
    <xf numFmtId="0" fontId="42" fillId="5" borderId="14" xfId="0" applyFont="1" applyFill="1" applyBorder="1" applyAlignment="1">
      <alignment horizontal="left" vertical="center"/>
    </xf>
    <xf numFmtId="0" fontId="41" fillId="0" borderId="0" xfId="0" applyFont="1" applyAlignment="1">
      <alignment horizontal="left" vertical="center" wrapText="1"/>
    </xf>
    <xf numFmtId="0" fontId="42" fillId="22" borderId="14" xfId="0" applyFont="1" applyFill="1" applyBorder="1" applyAlignment="1">
      <alignment horizontal="left" vertical="center" wrapText="1"/>
    </xf>
    <xf numFmtId="0" fontId="18" fillId="22" borderId="15" xfId="0" applyFont="1" applyFill="1" applyBorder="1" applyAlignment="1">
      <alignment horizontal="left" vertical="center"/>
    </xf>
    <xf numFmtId="0" fontId="42" fillId="22" borderId="14" xfId="0" applyFont="1" applyFill="1" applyBorder="1" applyAlignment="1">
      <alignment horizontal="left" vertical="center"/>
    </xf>
    <xf numFmtId="0" fontId="18" fillId="22" borderId="15" xfId="0" applyFont="1" applyFill="1" applyBorder="1" applyAlignment="1">
      <alignment horizontal="left" vertical="center" wrapText="1"/>
    </xf>
    <xf numFmtId="0" fontId="42" fillId="0" borderId="16" xfId="0" applyFont="1" applyBorder="1" applyAlignment="1">
      <alignment horizontal="left" vertical="center"/>
    </xf>
    <xf numFmtId="0" fontId="18" fillId="0" borderId="17" xfId="0" applyFont="1" applyBorder="1" applyAlignment="1">
      <alignment horizontal="left" vertical="center"/>
    </xf>
    <xf numFmtId="0" fontId="42" fillId="5" borderId="14" xfId="0" applyFont="1" applyFill="1" applyBorder="1" applyAlignment="1">
      <alignment horizontal="left" vertical="center" wrapText="1"/>
    </xf>
    <xf numFmtId="0" fontId="43" fillId="0" borderId="0" xfId="0" applyFont="1"/>
    <xf numFmtId="0" fontId="44" fillId="0" borderId="0" xfId="0" applyFont="1"/>
    <xf numFmtId="0" fontId="45" fillId="23" borderId="0" xfId="0" applyFont="1" applyFill="1" applyAlignment="1">
      <alignment horizontal="center" vertical="center"/>
    </xf>
    <xf numFmtId="0" fontId="45" fillId="0" borderId="0" xfId="0" applyFont="1" applyAlignment="1">
      <alignment vertical="center"/>
    </xf>
    <xf numFmtId="0" fontId="46" fillId="2" borderId="0" xfId="0" applyFont="1" applyFill="1" applyAlignment="1">
      <alignment vertical="center"/>
    </xf>
    <xf numFmtId="0" fontId="47" fillId="24" borderId="0" xfId="0" applyFont="1" applyFill="1"/>
    <xf numFmtId="0" fontId="46" fillId="24" borderId="0" xfId="0" applyFont="1" applyFill="1" applyAlignment="1">
      <alignment horizontal="center"/>
    </xf>
    <xf numFmtId="0" fontId="48" fillId="0" borderId="0" xfId="0" applyFont="1"/>
    <xf numFmtId="0" fontId="49" fillId="0" borderId="0" xfId="0" applyFont="1"/>
    <xf numFmtId="14" fontId="50" fillId="0" borderId="0" xfId="0" applyNumberFormat="1" applyFont="1" applyAlignment="1">
      <alignment horizontal="left"/>
    </xf>
    <xf numFmtId="0" fontId="51" fillId="23" borderId="18" xfId="0" applyFont="1" applyFill="1" applyBorder="1" applyAlignment="1">
      <alignment horizontal="center"/>
    </xf>
    <xf numFmtId="0" fontId="52" fillId="0" borderId="0" xfId="0" applyFont="1"/>
    <xf numFmtId="0" fontId="50" fillId="0" borderId="18" xfId="0" applyFont="1" applyBorder="1" applyAlignment="1">
      <alignment horizontal="center" vertical="center"/>
    </xf>
    <xf numFmtId="0" fontId="44" fillId="0" borderId="0" xfId="0" applyFont="1" applyAlignment="1">
      <alignment vertical="center"/>
    </xf>
    <xf numFmtId="0" fontId="52" fillId="25" borderId="2" xfId="0" applyFont="1" applyFill="1" applyBorder="1"/>
    <xf numFmtId="0" fontId="53" fillId="0" borderId="0" xfId="0" applyFont="1" applyAlignment="1">
      <alignment vertical="center"/>
    </xf>
    <xf numFmtId="0" fontId="52" fillId="26" borderId="2" xfId="0" applyFont="1" applyFill="1" applyBorder="1"/>
    <xf numFmtId="0" fontId="52" fillId="27" borderId="2" xfId="0" applyFont="1" applyFill="1" applyBorder="1"/>
    <xf numFmtId="0" fontId="52" fillId="18" borderId="2" xfId="0" applyFont="1" applyFill="1" applyBorder="1"/>
    <xf numFmtId="0" fontId="52" fillId="12" borderId="2" xfId="0" applyFont="1" applyFill="1" applyBorder="1"/>
    <xf numFmtId="0" fontId="52" fillId="0" borderId="2" xfId="0" applyFont="1" applyBorder="1"/>
    <xf numFmtId="0" fontId="54" fillId="0" borderId="0" xfId="0" applyFont="1"/>
    <xf numFmtId="0" fontId="52" fillId="28" borderId="2" xfId="0" applyFont="1" applyFill="1" applyBorder="1"/>
    <xf numFmtId="0" fontId="52" fillId="29" borderId="2" xfId="0" applyFont="1" applyFill="1" applyBorder="1"/>
    <xf numFmtId="0" fontId="38" fillId="30" borderId="0" xfId="0" applyFont="1" applyFill="1"/>
    <xf numFmtId="0" fontId="55" fillId="3" borderId="2" xfId="0" applyFont="1" applyFill="1" applyBorder="1" applyAlignment="1">
      <alignment horizontal="center" vertical="center"/>
    </xf>
    <xf numFmtId="0" fontId="55" fillId="3" borderId="18" xfId="0" applyFont="1" applyFill="1" applyBorder="1" applyAlignment="1">
      <alignment horizontal="center" vertical="center"/>
    </xf>
    <xf numFmtId="0" fontId="55" fillId="3" borderId="19" xfId="0" applyFont="1" applyFill="1" applyBorder="1" applyAlignment="1">
      <alignment horizontal="center" vertical="center"/>
    </xf>
    <xf numFmtId="0" fontId="55" fillId="3" borderId="20" xfId="0" applyFont="1" applyFill="1" applyBorder="1" applyAlignment="1">
      <alignment horizontal="center" vertical="center"/>
    </xf>
    <xf numFmtId="0" fontId="56" fillId="0" borderId="0" xfId="0" applyFont="1" applyAlignment="1">
      <alignment horizontal="center" vertical="center"/>
    </xf>
    <xf numFmtId="9" fontId="23" fillId="2" borderId="0" xfId="0" applyNumberFormat="1" applyFont="1" applyFill="1" applyAlignment="1">
      <alignment horizontal="center" vertical="center"/>
    </xf>
    <xf numFmtId="14" fontId="57" fillId="0" borderId="2" xfId="0" applyNumberFormat="1" applyFont="1" applyBorder="1" applyAlignment="1">
      <alignment horizontal="left" vertical="center"/>
    </xf>
    <xf numFmtId="0" fontId="57" fillId="2" borderId="2" xfId="0" applyFont="1" applyFill="1" applyBorder="1" applyAlignment="1">
      <alignment horizontal="left" vertical="center"/>
    </xf>
    <xf numFmtId="0" fontId="58" fillId="3" borderId="18" xfId="0" applyFont="1" applyFill="1" applyBorder="1" applyAlignment="1">
      <alignment horizontal="center" vertical="center"/>
    </xf>
    <xf numFmtId="0" fontId="58" fillId="3" borderId="21" xfId="0" applyFont="1" applyFill="1" applyBorder="1" applyAlignment="1">
      <alignment horizontal="center" vertical="center"/>
    </xf>
    <xf numFmtId="164" fontId="58" fillId="3" borderId="20" xfId="0" applyNumberFormat="1" applyFont="1" applyFill="1" applyBorder="1" applyAlignment="1">
      <alignment horizontal="center" vertical="center"/>
    </xf>
    <xf numFmtId="164" fontId="58" fillId="3" borderId="2" xfId="0" applyNumberFormat="1" applyFont="1" applyFill="1" applyBorder="1" applyAlignment="1">
      <alignment horizontal="center" vertical="center"/>
    </xf>
    <xf numFmtId="0" fontId="1" fillId="0" borderId="2" xfId="0" applyFont="1" applyBorder="1"/>
    <xf numFmtId="0" fontId="57" fillId="0" borderId="2" xfId="0" applyFont="1" applyBorder="1" applyAlignment="1">
      <alignment horizontal="left" vertical="center"/>
    </xf>
    <xf numFmtId="0" fontId="57" fillId="21" borderId="18" xfId="0" applyFont="1" applyFill="1" applyBorder="1" applyAlignment="1">
      <alignment horizontal="left" vertical="center"/>
    </xf>
    <xf numFmtId="0" fontId="57" fillId="21" borderId="22" xfId="0" applyFont="1" applyFill="1" applyBorder="1" applyAlignment="1">
      <alignment horizontal="center" vertical="center"/>
    </xf>
    <xf numFmtId="0" fontId="57" fillId="0" borderId="20" xfId="0" applyFont="1" applyBorder="1" applyAlignment="1">
      <alignment horizontal="center"/>
    </xf>
    <xf numFmtId="0" fontId="57" fillId="0" borderId="2" xfId="0" applyFont="1" applyBorder="1" applyAlignment="1">
      <alignment horizontal="center"/>
    </xf>
    <xf numFmtId="0" fontId="57" fillId="0" borderId="2" xfId="0" applyFont="1" applyBorder="1"/>
    <xf numFmtId="0" fontId="57" fillId="0" borderId="18" xfId="0" applyFont="1" applyBorder="1" applyAlignment="1">
      <alignment horizontal="left" vertical="center"/>
    </xf>
    <xf numFmtId="0" fontId="57" fillId="0" borderId="22" xfId="0" applyFont="1" applyBorder="1" applyAlignment="1">
      <alignment horizontal="center" vertical="center"/>
    </xf>
    <xf numFmtId="0" fontId="59" fillId="0" borderId="2" xfId="0" applyFont="1" applyBorder="1" applyAlignment="1">
      <alignment horizontal="center" vertical="center"/>
    </xf>
    <xf numFmtId="0" fontId="57" fillId="27" borderId="18" xfId="0" applyFont="1" applyFill="1" applyBorder="1" applyAlignment="1">
      <alignment horizontal="left" vertical="center"/>
    </xf>
    <xf numFmtId="0" fontId="57" fillId="27" borderId="22" xfId="0" applyFont="1" applyFill="1" applyBorder="1" applyAlignment="1">
      <alignment horizontal="center" vertical="center"/>
    </xf>
    <xf numFmtId="17" fontId="59" fillId="0" borderId="2" xfId="0" applyNumberFormat="1" applyFont="1" applyBorder="1" applyAlignment="1">
      <alignment vertical="center"/>
    </xf>
    <xf numFmtId="17" fontId="59" fillId="0" borderId="2" xfId="0" applyNumberFormat="1" applyFont="1" applyBorder="1" applyAlignment="1">
      <alignment horizontal="center" vertical="center"/>
    </xf>
    <xf numFmtId="0" fontId="60" fillId="0" borderId="0" xfId="0" applyFont="1"/>
    <xf numFmtId="17" fontId="1" fillId="0" borderId="0" xfId="0" applyNumberFormat="1" applyFont="1"/>
    <xf numFmtId="0" fontId="57" fillId="0" borderId="23" xfId="0" applyFont="1" applyBorder="1" applyAlignment="1">
      <alignment horizontal="left" vertical="center"/>
    </xf>
    <xf numFmtId="0" fontId="61" fillId="0" borderId="0" xfId="0" applyFont="1"/>
    <xf numFmtId="0" fontId="57" fillId="21" borderId="24" xfId="0" applyFont="1" applyFill="1" applyBorder="1" applyAlignment="1">
      <alignment horizontal="center" vertical="center"/>
    </xf>
    <xf numFmtId="0" fontId="57" fillId="0" borderId="25" xfId="0" applyFont="1" applyBorder="1" applyAlignment="1">
      <alignment horizontal="center"/>
    </xf>
    <xf numFmtId="0" fontId="57" fillId="0" borderId="4" xfId="0" applyFont="1" applyBorder="1" applyAlignment="1">
      <alignment horizontal="center"/>
    </xf>
    <xf numFmtId="0" fontId="57" fillId="0" borderId="0" xfId="0" applyFont="1"/>
    <xf numFmtId="0" fontId="62" fillId="0" borderId="2" xfId="0" applyFont="1" applyBorder="1" applyAlignment="1">
      <alignment horizontal="center"/>
    </xf>
    <xf numFmtId="0" fontId="1" fillId="30" borderId="0" xfId="0" applyFont="1" applyFill="1"/>
    <xf numFmtId="0" fontId="55" fillId="0" borderId="0" xfId="0" applyFont="1" applyAlignment="1">
      <alignment horizontal="center" vertical="center"/>
    </xf>
    <xf numFmtId="0" fontId="57" fillId="0" borderId="0" xfId="0" applyFont="1" applyAlignment="1">
      <alignment horizontal="left" vertical="center"/>
    </xf>
    <xf numFmtId="0" fontId="25" fillId="2" borderId="0" xfId="0" applyFont="1" applyFill="1"/>
    <xf numFmtId="0" fontId="41" fillId="0" borderId="0" xfId="0" applyFont="1"/>
    <xf numFmtId="0" fontId="25" fillId="2" borderId="26" xfId="0" applyFont="1" applyFill="1" applyBorder="1" applyAlignment="1">
      <alignment horizontal="center"/>
    </xf>
    <xf numFmtId="0" fontId="58" fillId="31" borderId="27" xfId="0" applyFont="1" applyFill="1" applyBorder="1" applyAlignment="1">
      <alignment horizontal="center" vertical="center"/>
    </xf>
    <xf numFmtId="0" fontId="58" fillId="31" borderId="0" xfId="0" applyFont="1" applyFill="1" applyAlignment="1">
      <alignment horizontal="center" vertical="center"/>
    </xf>
    <xf numFmtId="0" fontId="24" fillId="31" borderId="28" xfId="0" applyFont="1" applyFill="1" applyBorder="1" applyAlignment="1">
      <alignment horizontal="center" vertical="center"/>
    </xf>
    <xf numFmtId="0" fontId="24" fillId="31" borderId="29" xfId="0" applyFont="1" applyFill="1" applyBorder="1" applyAlignment="1">
      <alignment horizontal="center" vertical="center"/>
    </xf>
    <xf numFmtId="0" fontId="24" fillId="31" borderId="26" xfId="0" applyFont="1" applyFill="1" applyBorder="1" applyAlignment="1">
      <alignment horizontal="center" vertical="center"/>
    </xf>
    <xf numFmtId="0" fontId="57" fillId="32" borderId="2" xfId="0" applyFont="1" applyFill="1" applyBorder="1" applyAlignment="1">
      <alignment horizontal="center" vertical="center"/>
    </xf>
    <xf numFmtId="0" fontId="57" fillId="32" borderId="2" xfId="0" applyFont="1" applyFill="1" applyBorder="1" applyAlignment="1">
      <alignment horizontal="left" vertical="center"/>
    </xf>
    <xf numFmtId="0" fontId="38" fillId="0" borderId="0" xfId="0" applyFont="1"/>
    <xf numFmtId="0" fontId="24" fillId="31" borderId="2" xfId="0" applyFont="1" applyFill="1" applyBorder="1" applyAlignment="1">
      <alignment horizontal="center" vertical="center"/>
    </xf>
    <xf numFmtId="0" fontId="24" fillId="31" borderId="30" xfId="0" applyFont="1" applyFill="1" applyBorder="1" applyAlignment="1">
      <alignment horizontal="center" vertical="center"/>
    </xf>
    <xf numFmtId="0" fontId="57" fillId="6" borderId="2" xfId="0" applyFont="1" applyFill="1" applyBorder="1" applyAlignment="1">
      <alignment horizontal="center" vertical="center"/>
    </xf>
    <xf numFmtId="0" fontId="24" fillId="31" borderId="0" xfId="0" applyFont="1" applyFill="1" applyAlignment="1">
      <alignment horizontal="center" vertical="center"/>
    </xf>
    <xf numFmtId="0" fontId="24" fillId="31" borderId="31" xfId="0" applyFont="1" applyFill="1" applyBorder="1" applyAlignment="1">
      <alignment horizontal="center" vertical="center"/>
    </xf>
    <xf numFmtId="0" fontId="57" fillId="33" borderId="2" xfId="0" applyFont="1" applyFill="1" applyBorder="1" applyAlignment="1">
      <alignment horizontal="center" vertical="center"/>
    </xf>
    <xf numFmtId="0" fontId="57" fillId="33" borderId="2" xfId="0" applyFont="1" applyFill="1" applyBorder="1" applyAlignment="1">
      <alignment horizontal="left" vertical="center"/>
    </xf>
    <xf numFmtId="0" fontId="10" fillId="0" borderId="2" xfId="0" applyFont="1" applyBorder="1" applyAlignment="1">
      <alignment horizontal="left" vertical="center"/>
    </xf>
    <xf numFmtId="0" fontId="41" fillId="0" borderId="2" xfId="0" applyFont="1" applyBorder="1" applyAlignment="1">
      <alignment horizontal="center" vertical="center"/>
    </xf>
    <xf numFmtId="0" fontId="41" fillId="32" borderId="2" xfId="0" applyFont="1" applyFill="1" applyBorder="1" applyAlignment="1">
      <alignment horizontal="center" vertical="center"/>
    </xf>
    <xf numFmtId="0" fontId="57" fillId="9" borderId="2" xfId="0" applyFont="1" applyFill="1" applyBorder="1" applyAlignment="1">
      <alignment horizontal="center" vertical="center"/>
    </xf>
    <xf numFmtId="0" fontId="57" fillId="9" borderId="2" xfId="0" applyFont="1" applyFill="1" applyBorder="1" applyAlignment="1">
      <alignment horizontal="left" vertical="center"/>
    </xf>
    <xf numFmtId="0" fontId="57" fillId="34" borderId="2" xfId="0" applyFont="1" applyFill="1" applyBorder="1" applyAlignment="1">
      <alignment horizontal="center" vertical="center"/>
    </xf>
    <xf numFmtId="0" fontId="57" fillId="34" borderId="2" xfId="0" applyFont="1" applyFill="1" applyBorder="1" applyAlignment="1">
      <alignment horizontal="left" vertical="center"/>
    </xf>
    <xf numFmtId="0" fontId="57" fillId="10" borderId="2" xfId="0" applyFont="1" applyFill="1" applyBorder="1" applyAlignment="1">
      <alignment horizontal="center" vertical="center"/>
    </xf>
    <xf numFmtId="0" fontId="57" fillId="10" borderId="2" xfId="0" applyFont="1" applyFill="1" applyBorder="1" applyAlignment="1">
      <alignment horizontal="left" vertical="center"/>
    </xf>
    <xf numFmtId="0" fontId="41" fillId="35" borderId="2" xfId="0" applyFont="1" applyFill="1" applyBorder="1" applyAlignment="1">
      <alignment horizontal="center" vertical="center"/>
    </xf>
    <xf numFmtId="0" fontId="57" fillId="0" borderId="2" xfId="0" applyFont="1" applyBorder="1" applyAlignment="1">
      <alignment horizontal="center" vertical="center"/>
    </xf>
    <xf numFmtId="0" fontId="24" fillId="31" borderId="32" xfId="0" applyFont="1" applyFill="1" applyBorder="1" applyAlignment="1">
      <alignment horizontal="center" vertical="center"/>
    </xf>
    <xf numFmtId="0" fontId="24" fillId="31" borderId="33" xfId="0" applyFont="1" applyFill="1" applyBorder="1" applyAlignment="1">
      <alignment horizontal="center" vertical="center"/>
    </xf>
    <xf numFmtId="0" fontId="24" fillId="31" borderId="34" xfId="0" applyFont="1" applyFill="1" applyBorder="1" applyAlignment="1">
      <alignment horizontal="center" vertical="center"/>
    </xf>
    <xf numFmtId="0" fontId="41" fillId="0" borderId="2" xfId="0" applyFont="1" applyBorder="1" applyAlignment="1">
      <alignment horizontal="center" vertical="center" wrapText="1"/>
    </xf>
    <xf numFmtId="0" fontId="1" fillId="35" borderId="0" xfId="0" applyFont="1" applyFill="1"/>
    <xf numFmtId="9" fontId="41" fillId="0" borderId="2" xfId="0" applyNumberFormat="1" applyFont="1" applyBorder="1" applyAlignment="1">
      <alignment horizontal="center" vertical="center" wrapText="1"/>
    </xf>
    <xf numFmtId="0" fontId="1" fillId="32" borderId="0" xfId="0" applyFont="1" applyFill="1"/>
    <xf numFmtId="0" fontId="1" fillId="36" borderId="0" xfId="0" applyFont="1" applyFill="1"/>
    <xf numFmtId="0" fontId="20" fillId="3" borderId="3" xfId="0" applyFont="1" applyFill="1" applyBorder="1" applyAlignment="1">
      <alignment vertical="center"/>
    </xf>
    <xf numFmtId="0" fontId="20" fillId="3" borderId="3" xfId="0" applyFont="1" applyFill="1" applyBorder="1" applyAlignment="1">
      <alignment horizontal="center" vertical="center"/>
    </xf>
    <xf numFmtId="0" fontId="25" fillId="18" borderId="2" xfId="0" applyFont="1" applyFill="1" applyBorder="1" applyAlignment="1">
      <alignment horizontal="right"/>
    </xf>
    <xf numFmtId="14" fontId="25" fillId="0" borderId="0" xfId="0" applyNumberFormat="1" applyFont="1" applyAlignment="1">
      <alignment horizontal="right"/>
    </xf>
    <xf numFmtId="14" fontId="25" fillId="0" borderId="2" xfId="0" applyNumberFormat="1" applyFont="1" applyBorder="1" applyAlignment="1">
      <alignment horizontal="right"/>
    </xf>
    <xf numFmtId="14" fontId="57" fillId="0" borderId="3" xfId="0" applyNumberFormat="1" applyFont="1" applyBorder="1" applyAlignment="1">
      <alignment horizontal="left" vertical="center"/>
    </xf>
    <xf numFmtId="0" fontId="57" fillId="0" borderId="3" xfId="0" applyFont="1" applyBorder="1" applyAlignment="1">
      <alignment horizontal="left" vertical="center"/>
    </xf>
    <xf numFmtId="0" fontId="7" fillId="3" borderId="35" xfId="0" applyFont="1" applyFill="1" applyBorder="1" applyAlignment="1">
      <alignment horizontal="center" vertical="center"/>
    </xf>
    <xf numFmtId="0" fontId="10" fillId="0" borderId="4" xfId="0" applyFont="1" applyBorder="1" applyAlignment="1">
      <alignment horizontal="left" vertical="center" wrapText="1"/>
    </xf>
    <xf numFmtId="0" fontId="10" fillId="0" borderId="4" xfId="0" applyFont="1" applyBorder="1" applyAlignment="1">
      <alignment horizontal="left" vertical="center"/>
    </xf>
    <xf numFmtId="0" fontId="10" fillId="0" borderId="35" xfId="0" applyFont="1" applyBorder="1" applyAlignment="1">
      <alignment horizontal="left" vertical="center"/>
    </xf>
    <xf numFmtId="14" fontId="57" fillId="0" borderId="2" xfId="0" applyNumberFormat="1" applyFont="1" applyBorder="1" applyAlignment="1">
      <alignment horizontal="center" vertical="center"/>
    </xf>
    <xf numFmtId="0" fontId="23" fillId="2" borderId="0" xfId="0" applyFont="1" applyFill="1" applyAlignment="1">
      <alignment horizontal="center" vertical="center"/>
    </xf>
    <xf numFmtId="0" fontId="23" fillId="37" borderId="0" xfId="0" applyFont="1" applyFill="1" applyAlignment="1">
      <alignment horizontal="center" vertical="center"/>
    </xf>
    <xf numFmtId="165" fontId="37" fillId="30" borderId="0" xfId="0" applyNumberFormat="1" applyFont="1" applyFill="1" applyAlignment="1">
      <alignment horizontal="center" vertical="center"/>
    </xf>
    <xf numFmtId="165" fontId="59" fillId="34" borderId="0" xfId="0" applyNumberFormat="1" applyFont="1" applyFill="1" applyAlignment="1">
      <alignment horizontal="center" vertical="center"/>
    </xf>
    <xf numFmtId="0" fontId="63" fillId="0" borderId="0" xfId="0" applyFont="1"/>
    <xf numFmtId="0" fontId="41" fillId="14" borderId="0" xfId="0" applyFont="1" applyFill="1"/>
    <xf numFmtId="0" fontId="63" fillId="34" borderId="0" xfId="0" applyFont="1" applyFill="1"/>
    <xf numFmtId="0" fontId="10" fillId="38" borderId="0" xfId="0" applyFont="1" applyFill="1" applyAlignment="1">
      <alignment horizontal="left" vertical="center"/>
    </xf>
    <xf numFmtId="0" fontId="10" fillId="38" borderId="0" xfId="0" applyFont="1" applyFill="1" applyAlignment="1">
      <alignment horizontal="left" vertical="top"/>
    </xf>
    <xf numFmtId="0" fontId="22" fillId="0" borderId="36" xfId="0" applyFont="1" applyBorder="1" applyAlignment="1">
      <alignment horizontal="left" vertical="center"/>
    </xf>
    <xf numFmtId="0" fontId="64" fillId="3" borderId="37" xfId="0" applyFont="1" applyFill="1" applyBorder="1" applyAlignment="1">
      <alignment horizontal="center" vertical="center"/>
    </xf>
    <xf numFmtId="14" fontId="64" fillId="3" borderId="37" xfId="0" applyNumberFormat="1" applyFont="1" applyFill="1" applyBorder="1" applyAlignment="1">
      <alignment horizontal="center" vertical="center"/>
    </xf>
    <xf numFmtId="0" fontId="65" fillId="0" borderId="36" xfId="0" applyFont="1" applyBorder="1" applyAlignment="1">
      <alignment horizontal="center" vertical="center"/>
    </xf>
    <xf numFmtId="0" fontId="66" fillId="3" borderId="37" xfId="0" applyFont="1" applyFill="1" applyBorder="1" applyAlignment="1">
      <alignment horizontal="center" vertical="center"/>
    </xf>
    <xf numFmtId="0" fontId="25" fillId="0" borderId="0" xfId="0" applyFont="1"/>
    <xf numFmtId="0" fontId="67" fillId="3" borderId="37" xfId="0" applyFont="1" applyFill="1" applyBorder="1" applyAlignment="1">
      <alignment horizontal="center" vertical="center"/>
    </xf>
    <xf numFmtId="0" fontId="40" fillId="19" borderId="0" xfId="0" applyFont="1" applyFill="1"/>
    <xf numFmtId="0" fontId="40" fillId="34" borderId="0" xfId="0" applyFont="1" applyFill="1"/>
    <xf numFmtId="0" fontId="40" fillId="34" borderId="0" xfId="0" applyFont="1" applyFill="1" applyAlignment="1">
      <alignment horizontal="center"/>
    </xf>
    <xf numFmtId="0" fontId="2" fillId="34" borderId="0" xfId="0" applyFont="1" applyFill="1"/>
    <xf numFmtId="0" fontId="40" fillId="0" borderId="0" xfId="0" applyFont="1"/>
    <xf numFmtId="0" fontId="24" fillId="14" borderId="0" xfId="0" applyFont="1" applyFill="1" applyAlignment="1">
      <alignment horizontal="center"/>
    </xf>
    <xf numFmtId="0" fontId="68" fillId="0" borderId="0" xfId="0" applyFont="1" applyAlignment="1">
      <alignment horizontal="center" vertical="center"/>
    </xf>
    <xf numFmtId="0" fontId="68" fillId="0" borderId="0" xfId="0" applyFont="1"/>
    <xf numFmtId="0" fontId="2" fillId="0" borderId="0" xfId="0" applyFont="1" applyAlignment="1">
      <alignment vertical="center"/>
    </xf>
    <xf numFmtId="0" fontId="69" fillId="3" borderId="38" xfId="0" applyFont="1" applyFill="1" applyBorder="1" applyAlignment="1">
      <alignment horizontal="center" vertical="center"/>
    </xf>
    <xf numFmtId="14" fontId="67" fillId="3" borderId="38" xfId="0" applyNumberFormat="1" applyFont="1" applyFill="1" applyBorder="1" applyAlignment="1">
      <alignment horizontal="center" vertical="center"/>
    </xf>
    <xf numFmtId="0" fontId="6" fillId="0" borderId="0" xfId="0" applyFont="1" applyAlignment="1">
      <alignment horizontal="left" vertical="center"/>
    </xf>
    <xf numFmtId="0" fontId="70" fillId="0" borderId="0" xfId="0" applyFont="1"/>
    <xf numFmtId="0" fontId="71" fillId="3" borderId="18" xfId="0" applyFont="1" applyFill="1" applyBorder="1" applyAlignment="1">
      <alignment horizontal="center" vertical="center"/>
    </xf>
    <xf numFmtId="0" fontId="71" fillId="3" borderId="19" xfId="0" applyFont="1" applyFill="1" applyBorder="1" applyAlignment="1">
      <alignment horizontal="center" vertical="center"/>
    </xf>
    <xf numFmtId="0" fontId="71" fillId="3" borderId="20" xfId="0" applyFont="1" applyFill="1" applyBorder="1" applyAlignment="1">
      <alignment horizontal="center" vertical="center"/>
    </xf>
    <xf numFmtId="0" fontId="36" fillId="3" borderId="18" xfId="0" applyFont="1" applyFill="1" applyBorder="1" applyAlignment="1">
      <alignment horizontal="center" vertical="center"/>
    </xf>
    <xf numFmtId="0" fontId="36" fillId="3" borderId="19" xfId="0" applyFont="1" applyFill="1" applyBorder="1" applyAlignment="1">
      <alignment horizontal="center" vertical="center"/>
    </xf>
    <xf numFmtId="0" fontId="7" fillId="3" borderId="20" xfId="0" applyFont="1" applyFill="1" applyBorder="1" applyAlignment="1">
      <alignment horizontal="center" vertical="center"/>
    </xf>
    <xf numFmtId="0" fontId="24" fillId="3" borderId="2" xfId="0" applyFont="1" applyFill="1" applyBorder="1" applyAlignment="1">
      <alignment horizontal="center" vertical="center"/>
    </xf>
    <xf numFmtId="0" fontId="72" fillId="18" borderId="0" xfId="0" applyFont="1" applyFill="1" applyAlignment="1">
      <alignment vertical="center"/>
    </xf>
    <xf numFmtId="0" fontId="7" fillId="3" borderId="18" xfId="0" applyFont="1" applyFill="1" applyBorder="1" applyAlignment="1">
      <alignment horizontal="center" vertical="center"/>
    </xf>
    <xf numFmtId="14" fontId="2" fillId="0" borderId="0" xfId="0" applyNumberFormat="1" applyFont="1" applyAlignment="1">
      <alignment horizontal="center" vertical="center"/>
    </xf>
    <xf numFmtId="0" fontId="10" fillId="0" borderId="2" xfId="0" applyFont="1" applyBorder="1" applyAlignment="1">
      <alignment horizontal="left" vertical="center" wrapText="1"/>
    </xf>
    <xf numFmtId="0" fontId="10" fillId="27" borderId="18" xfId="0" applyFont="1" applyFill="1" applyBorder="1" applyAlignment="1">
      <alignment vertical="center" wrapText="1"/>
    </xf>
    <xf numFmtId="0" fontId="10" fillId="5" borderId="20" xfId="0" applyFont="1" applyFill="1" applyBorder="1" applyAlignment="1">
      <alignment vertical="center" wrapText="1"/>
    </xf>
    <xf numFmtId="0" fontId="10" fillId="5" borderId="20" xfId="0" applyFont="1" applyFill="1" applyBorder="1" applyAlignment="1">
      <alignment horizontal="center" vertical="center" wrapText="1"/>
    </xf>
    <xf numFmtId="0" fontId="10"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10" fillId="5" borderId="18" xfId="0" applyFont="1" applyFill="1" applyBorder="1" applyAlignment="1">
      <alignment vertical="center" wrapText="1"/>
    </xf>
    <xf numFmtId="0" fontId="10" fillId="5" borderId="18" xfId="0" applyFont="1" applyFill="1" applyBorder="1" applyAlignment="1">
      <alignment horizontal="center" vertical="center" wrapText="1"/>
    </xf>
    <xf numFmtId="0" fontId="10" fillId="5" borderId="2" xfId="0" applyFont="1" applyFill="1" applyBorder="1" applyAlignment="1">
      <alignment horizontal="left" vertical="center" wrapText="1"/>
    </xf>
    <xf numFmtId="0" fontId="10" fillId="21" borderId="2" xfId="0" applyFont="1" applyFill="1" applyBorder="1" applyAlignment="1">
      <alignment horizontal="left" vertical="center" wrapText="1"/>
    </xf>
    <xf numFmtId="0" fontId="10" fillId="5" borderId="2" xfId="0" applyFont="1" applyFill="1" applyBorder="1" applyAlignment="1">
      <alignment horizontal="center" vertical="center" wrapText="1"/>
    </xf>
    <xf numFmtId="0" fontId="10" fillId="7" borderId="2" xfId="0" applyFont="1" applyFill="1" applyBorder="1" applyAlignment="1">
      <alignment horizontal="left" vertical="center" wrapText="1"/>
    </xf>
    <xf numFmtId="0" fontId="10" fillId="7" borderId="18" xfId="0" applyFont="1" applyFill="1" applyBorder="1" applyAlignment="1">
      <alignment horizontal="center" vertical="center" wrapText="1"/>
    </xf>
    <xf numFmtId="0" fontId="10" fillId="7" borderId="20"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8" fillId="7" borderId="2" xfId="0" applyFont="1" applyFill="1" applyBorder="1" applyAlignment="1">
      <alignment horizontal="left" vertical="center" wrapText="1"/>
    </xf>
    <xf numFmtId="0" fontId="13" fillId="5" borderId="2" xfId="0" applyFont="1" applyFill="1" applyBorder="1" applyAlignment="1">
      <alignment horizontal="left" vertical="center" wrapText="1"/>
    </xf>
    <xf numFmtId="0" fontId="18" fillId="0" borderId="2" xfId="0" applyFont="1" applyBorder="1" applyAlignment="1">
      <alignment horizontal="center" vertical="center"/>
    </xf>
    <xf numFmtId="0" fontId="18" fillId="0" borderId="2" xfId="0" applyFont="1" applyBorder="1" applyAlignment="1">
      <alignment horizontal="left" vertical="center" wrapText="1"/>
    </xf>
    <xf numFmtId="0" fontId="73" fillId="5" borderId="2" xfId="0" applyFont="1" applyFill="1" applyBorder="1" applyAlignment="1">
      <alignment horizontal="left" vertical="center" wrapText="1"/>
    </xf>
    <xf numFmtId="0" fontId="73" fillId="5" borderId="18" xfId="0" applyFont="1" applyFill="1" applyBorder="1" applyAlignment="1">
      <alignment horizontal="center" vertical="center" wrapText="1"/>
    </xf>
    <xf numFmtId="0" fontId="73" fillId="5" borderId="20" xfId="0" applyFont="1" applyFill="1" applyBorder="1" applyAlignment="1">
      <alignment horizontal="center" vertical="center" wrapText="1"/>
    </xf>
    <xf numFmtId="0" fontId="73" fillId="5" borderId="2" xfId="0" applyFont="1" applyFill="1" applyBorder="1" applyAlignment="1">
      <alignment horizontal="center" vertical="center" wrapText="1"/>
    </xf>
    <xf numFmtId="0" fontId="10" fillId="5" borderId="2" xfId="0" applyFont="1" applyFill="1" applyBorder="1" applyAlignment="1">
      <alignment vertical="center" wrapText="1"/>
    </xf>
    <xf numFmtId="0" fontId="10" fillId="0" borderId="2" xfId="0" applyFont="1" applyBorder="1" applyAlignment="1">
      <alignment horizontal="left" vertical="top" wrapText="1"/>
    </xf>
    <xf numFmtId="0" fontId="10" fillId="0" borderId="2" xfId="0" applyFont="1" applyBorder="1" applyAlignment="1">
      <alignment horizontal="center" vertical="top" wrapText="1"/>
    </xf>
    <xf numFmtId="0" fontId="13" fillId="0" borderId="2" xfId="0" applyFont="1" applyBorder="1" applyAlignment="1">
      <alignment horizontal="left" vertical="center" wrapText="1"/>
    </xf>
    <xf numFmtId="0" fontId="13" fillId="0" borderId="2" xfId="0" applyFont="1" applyBorder="1" applyAlignment="1">
      <alignment horizontal="center" vertical="center" wrapText="1"/>
    </xf>
    <xf numFmtId="0" fontId="10" fillId="36" borderId="2" xfId="0" applyFont="1" applyFill="1" applyBorder="1" applyAlignment="1">
      <alignment horizontal="left" vertical="center" wrapText="1"/>
    </xf>
    <xf numFmtId="0" fontId="10" fillId="36" borderId="18" xfId="0" applyFont="1" applyFill="1" applyBorder="1" applyAlignment="1">
      <alignment horizontal="center" vertical="center" wrapText="1"/>
    </xf>
    <xf numFmtId="0" fontId="10" fillId="36" borderId="20" xfId="0" applyFont="1" applyFill="1" applyBorder="1" applyAlignment="1">
      <alignment horizontal="center" vertical="center" wrapText="1"/>
    </xf>
    <xf numFmtId="0" fontId="10" fillId="36" borderId="2" xfId="0" applyFont="1" applyFill="1" applyBorder="1" applyAlignment="1">
      <alignment horizontal="center" vertical="center" wrapText="1"/>
    </xf>
    <xf numFmtId="0" fontId="74" fillId="36" borderId="2" xfId="0" applyFont="1" applyFill="1" applyBorder="1" applyAlignment="1">
      <alignment horizontal="left" vertical="center" wrapText="1"/>
    </xf>
    <xf numFmtId="0" fontId="19" fillId="3" borderId="0" xfId="0" applyFont="1" applyFill="1" applyAlignment="1">
      <alignment horizontal="center" vertical="center"/>
    </xf>
    <xf numFmtId="0" fontId="75" fillId="2" borderId="26" xfId="0" applyFont="1" applyFill="1" applyBorder="1" applyAlignment="1">
      <alignment horizontal="center" vertical="center" wrapText="1"/>
    </xf>
    <xf numFmtId="0" fontId="75" fillId="2" borderId="39" xfId="0" applyFont="1" applyFill="1" applyBorder="1" applyAlignment="1">
      <alignment horizontal="center" vertical="center" wrapText="1"/>
    </xf>
    <xf numFmtId="0" fontId="76" fillId="3" borderId="40" xfId="0" applyFont="1" applyFill="1" applyBorder="1" applyAlignment="1">
      <alignment horizontal="center" vertical="center"/>
    </xf>
    <xf numFmtId="0" fontId="24" fillId="23" borderId="41" xfId="0" applyFont="1" applyFill="1" applyBorder="1" applyAlignment="1">
      <alignment horizontal="center" vertical="center" wrapText="1"/>
    </xf>
    <xf numFmtId="0" fontId="24" fillId="23" borderId="30" xfId="0" applyFont="1" applyFill="1" applyBorder="1" applyAlignment="1">
      <alignment horizontal="center" vertical="center" wrapText="1"/>
    </xf>
    <xf numFmtId="0" fontId="24" fillId="23" borderId="7" xfId="0" applyFont="1" applyFill="1" applyBorder="1" applyAlignment="1">
      <alignment horizontal="center" vertical="center" wrapText="1"/>
    </xf>
    <xf numFmtId="0" fontId="77" fillId="0" borderId="0" xfId="0" applyFont="1" applyAlignment="1">
      <alignment horizontal="center" vertical="center" wrapText="1"/>
    </xf>
    <xf numFmtId="0" fontId="78" fillId="23" borderId="42" xfId="0" applyFont="1" applyFill="1" applyBorder="1" applyAlignment="1">
      <alignment horizontal="center" vertical="center" wrapText="1"/>
    </xf>
    <xf numFmtId="0" fontId="24" fillId="0" borderId="0" xfId="0" applyFont="1" applyAlignment="1">
      <alignment horizontal="center" vertical="center"/>
    </xf>
    <xf numFmtId="0" fontId="24" fillId="0" borderId="0" xfId="0" applyFont="1" applyAlignment="1">
      <alignment horizontal="center" vertical="center" wrapText="1"/>
    </xf>
    <xf numFmtId="0" fontId="40" fillId="38" borderId="42" xfId="0" applyFont="1" applyFill="1" applyBorder="1" applyAlignment="1">
      <alignment horizontal="center" vertical="center" wrapText="1"/>
    </xf>
    <xf numFmtId="0" fontId="40" fillId="38" borderId="2" xfId="0" applyFont="1" applyFill="1" applyBorder="1" applyAlignment="1">
      <alignment horizontal="center" vertical="center" wrapText="1"/>
    </xf>
    <xf numFmtId="0" fontId="40" fillId="39" borderId="4" xfId="0" applyFont="1" applyFill="1" applyBorder="1" applyAlignment="1">
      <alignment horizontal="center" vertical="center" wrapText="1"/>
    </xf>
    <xf numFmtId="0" fontId="40" fillId="39" borderId="2" xfId="0" applyFont="1" applyFill="1" applyBorder="1" applyAlignment="1">
      <alignment horizontal="center" vertical="center" wrapText="1"/>
    </xf>
    <xf numFmtId="0" fontId="40" fillId="40" borderId="2" xfId="0" applyFont="1" applyFill="1" applyBorder="1" applyAlignment="1">
      <alignment horizontal="center" vertical="center" wrapText="1"/>
    </xf>
    <xf numFmtId="0" fontId="40" fillId="38" borderId="18" xfId="0" applyFont="1" applyFill="1" applyBorder="1" applyAlignment="1">
      <alignment horizontal="center" vertical="center" wrapText="1"/>
    </xf>
    <xf numFmtId="0" fontId="40" fillId="40" borderId="43" xfId="0" applyFont="1" applyFill="1" applyBorder="1" applyAlignment="1">
      <alignment horizontal="center" vertical="center" wrapText="1"/>
    </xf>
    <xf numFmtId="0" fontId="40" fillId="40" borderId="4" xfId="0" applyFont="1" applyFill="1" applyBorder="1" applyAlignment="1">
      <alignment horizontal="center" vertical="center" wrapText="1"/>
    </xf>
    <xf numFmtId="0" fontId="40" fillId="0" borderId="4" xfId="0" applyFont="1" applyBorder="1" applyAlignment="1">
      <alignment horizontal="center" vertical="center" wrapText="1"/>
    </xf>
    <xf numFmtId="0" fontId="40" fillId="0" borderId="2" xfId="0" applyFont="1" applyBorder="1" applyAlignment="1">
      <alignment horizontal="center" vertical="center" wrapText="1"/>
    </xf>
    <xf numFmtId="0" fontId="40" fillId="2" borderId="4" xfId="0" applyFont="1" applyFill="1" applyBorder="1" applyAlignment="1">
      <alignment horizontal="center" vertical="center" wrapText="1"/>
    </xf>
    <xf numFmtId="0" fontId="40" fillId="39" borderId="43" xfId="0" applyFont="1" applyFill="1" applyBorder="1" applyAlignment="1">
      <alignment horizontal="center" vertical="center" wrapText="1"/>
    </xf>
    <xf numFmtId="0" fontId="40" fillId="41" borderId="44" xfId="0" applyFont="1" applyFill="1" applyBorder="1" applyAlignment="1">
      <alignment horizontal="center" vertical="center" wrapText="1"/>
    </xf>
    <xf numFmtId="0" fontId="40" fillId="33" borderId="2" xfId="0" applyFont="1" applyFill="1" applyBorder="1" applyAlignment="1">
      <alignment horizontal="center" vertical="center" wrapText="1"/>
    </xf>
    <xf numFmtId="0" fontId="5" fillId="0" borderId="23" xfId="0" applyFont="1" applyBorder="1" applyAlignment="1">
      <alignment horizontal="center" vertical="center" wrapText="1"/>
    </xf>
    <xf numFmtId="0" fontId="40" fillId="0" borderId="45" xfId="0" applyFont="1" applyBorder="1" applyAlignment="1">
      <alignment horizontal="center" vertical="center" wrapText="1"/>
    </xf>
    <xf numFmtId="0" fontId="40" fillId="0" borderId="42" xfId="0" applyFont="1" applyBorder="1" applyAlignment="1">
      <alignment horizontal="center" vertical="center" wrapText="1"/>
    </xf>
    <xf numFmtId="0" fontId="40" fillId="2" borderId="44" xfId="0" applyFont="1" applyFill="1" applyBorder="1" applyAlignment="1">
      <alignment horizontal="center" vertical="center" wrapText="1"/>
    </xf>
    <xf numFmtId="0" fontId="40" fillId="0" borderId="18" xfId="0" applyFont="1" applyBorder="1" applyAlignment="1">
      <alignment horizontal="center" vertical="center" wrapText="1"/>
    </xf>
    <xf numFmtId="0" fontId="40" fillId="0" borderId="29" xfId="0" applyFont="1" applyBorder="1" applyAlignment="1">
      <alignment horizontal="center" vertical="center" wrapText="1"/>
    </xf>
    <xf numFmtId="0" fontId="40" fillId="0" borderId="44" xfId="0" applyFont="1" applyBorder="1" applyAlignment="1">
      <alignment horizontal="center" vertical="center" wrapText="1"/>
    </xf>
    <xf numFmtId="0" fontId="40" fillId="0" borderId="46" xfId="0" applyFont="1" applyBorder="1" applyAlignment="1">
      <alignment horizontal="center" vertical="center" wrapText="1"/>
    </xf>
    <xf numFmtId="0" fontId="40" fillId="33" borderId="47" xfId="0" applyFont="1" applyFill="1" applyBorder="1" applyAlignment="1">
      <alignment horizontal="center" vertical="center" wrapText="1"/>
    </xf>
    <xf numFmtId="0" fontId="1" fillId="0" borderId="0" xfId="0" applyFont="1" applyAlignment="1">
      <alignment wrapText="1"/>
    </xf>
    <xf numFmtId="0" fontId="1" fillId="0" borderId="0" xfId="0" applyFont="1" applyAlignment="1">
      <alignment horizontal="center" vertical="center" wrapText="1"/>
    </xf>
    <xf numFmtId="0" fontId="41" fillId="0" borderId="0" xfId="0" applyFont="1" applyAlignment="1">
      <alignment wrapText="1"/>
    </xf>
    <xf numFmtId="0" fontId="75" fillId="40" borderId="0" xfId="0" applyFont="1" applyFill="1" applyAlignment="1">
      <alignment horizontal="center" vertical="center"/>
    </xf>
    <xf numFmtId="0" fontId="75" fillId="39" borderId="0" xfId="0" applyFont="1" applyFill="1" applyAlignment="1">
      <alignment horizontal="center" vertical="center"/>
    </xf>
    <xf numFmtId="0" fontId="75" fillId="5" borderId="0" xfId="0" applyFont="1" applyFill="1" applyAlignment="1">
      <alignment horizontal="center" vertical="center"/>
    </xf>
    <xf numFmtId="14" fontId="79" fillId="42" borderId="6" xfId="0" applyNumberFormat="1" applyFont="1" applyFill="1" applyBorder="1" applyAlignment="1">
      <alignment horizontal="center" vertical="center"/>
    </xf>
    <xf numFmtId="0" fontId="40" fillId="42" borderId="7" xfId="0" applyFont="1" applyFill="1" applyBorder="1" applyAlignment="1">
      <alignment horizontal="center" vertical="center" wrapText="1"/>
    </xf>
    <xf numFmtId="0" fontId="75" fillId="33" borderId="0" xfId="0" applyFont="1" applyFill="1" applyAlignment="1">
      <alignment horizontal="center" vertical="center"/>
    </xf>
    <xf numFmtId="0" fontId="75" fillId="2" borderId="0" xfId="0" applyFont="1" applyFill="1" applyAlignment="1">
      <alignment horizontal="center" vertical="center"/>
    </xf>
    <xf numFmtId="0" fontId="75" fillId="41" borderId="0" xfId="0" applyFont="1" applyFill="1" applyAlignment="1">
      <alignment horizontal="center" vertical="center"/>
    </xf>
    <xf numFmtId="14" fontId="79" fillId="42" borderId="14" xfId="0" applyNumberFormat="1" applyFont="1" applyFill="1" applyBorder="1" applyAlignment="1">
      <alignment horizontal="center" vertical="center"/>
    </xf>
    <xf numFmtId="0" fontId="40" fillId="38" borderId="15" xfId="0" applyFont="1" applyFill="1" applyBorder="1" applyAlignment="1">
      <alignment horizontal="center" vertical="center" wrapText="1"/>
    </xf>
    <xf numFmtId="0" fontId="80" fillId="0" borderId="2" xfId="0" applyFont="1" applyBorder="1" applyAlignment="1">
      <alignment horizontal="left" vertical="center" wrapText="1"/>
    </xf>
    <xf numFmtId="0" fontId="40" fillId="39" borderId="15" xfId="0" applyFont="1" applyFill="1" applyBorder="1" applyAlignment="1">
      <alignment horizontal="center" vertical="center" wrapText="1"/>
    </xf>
    <xf numFmtId="0" fontId="40" fillId="40" borderId="48" xfId="0" applyFont="1" applyFill="1" applyBorder="1" applyAlignment="1">
      <alignment horizontal="center" vertical="center" wrapText="1"/>
    </xf>
    <xf numFmtId="0" fontId="1" fillId="0" borderId="0" xfId="0" applyFont="1" applyAlignment="1">
      <alignment horizontal="left" wrapText="1"/>
    </xf>
    <xf numFmtId="0" fontId="41" fillId="0" borderId="0" xfId="0" applyFont="1" applyAlignment="1">
      <alignment horizontal="left" wrapText="1"/>
    </xf>
    <xf numFmtId="0" fontId="40" fillId="33" borderId="15" xfId="0" applyFont="1" applyFill="1" applyBorder="1" applyAlignment="1">
      <alignment horizontal="center" vertical="center" wrapText="1"/>
    </xf>
    <xf numFmtId="0" fontId="7" fillId="0" borderId="0" xfId="0" applyFont="1" applyAlignment="1">
      <alignment horizontal="center" vertical="center" wrapText="1"/>
    </xf>
    <xf numFmtId="0" fontId="40" fillId="2" borderId="15" xfId="0" applyFont="1" applyFill="1" applyBorder="1" applyAlignment="1">
      <alignment horizontal="center" vertical="center"/>
    </xf>
    <xf numFmtId="0" fontId="40" fillId="41" borderId="18" xfId="0" applyFont="1" applyFill="1" applyBorder="1" applyAlignment="1">
      <alignment horizontal="center" vertical="center"/>
    </xf>
    <xf numFmtId="0" fontId="80" fillId="0" borderId="2" xfId="0" applyFont="1" applyBorder="1" applyAlignment="1">
      <alignment horizontal="left" vertical="center"/>
    </xf>
    <xf numFmtId="0" fontId="1" fillId="0" borderId="2" xfId="0" applyFont="1" applyBorder="1" applyAlignment="1">
      <alignment horizontal="left" wrapText="1"/>
    </xf>
    <xf numFmtId="0" fontId="81" fillId="0" borderId="0" xfId="0" applyFont="1" applyAlignment="1">
      <alignment horizontal="center" vertical="center" wrapText="1"/>
    </xf>
    <xf numFmtId="0" fontId="40" fillId="42" borderId="15" xfId="0" applyFont="1" applyFill="1" applyBorder="1" applyAlignment="1">
      <alignment horizontal="center" vertical="center" wrapText="1"/>
    </xf>
    <xf numFmtId="0" fontId="2" fillId="0" borderId="15" xfId="0" applyFont="1" applyBorder="1" applyAlignment="1">
      <alignment horizontal="center"/>
    </xf>
    <xf numFmtId="0" fontId="41" fillId="0" borderId="16" xfId="0" applyFont="1" applyBorder="1" applyAlignment="1">
      <alignment horizontal="center" wrapText="1"/>
    </xf>
    <xf numFmtId="0" fontId="2" fillId="0" borderId="17" xfId="0" applyFont="1" applyBorder="1" applyAlignment="1">
      <alignment horizontal="center" wrapText="1"/>
    </xf>
    <xf numFmtId="0" fontId="25" fillId="0" borderId="28" xfId="0" applyFont="1" applyBorder="1" applyAlignment="1">
      <alignment horizontal="center" vertical="center"/>
    </xf>
    <xf numFmtId="0" fontId="25" fillId="0" borderId="49" xfId="0" applyFont="1" applyBorder="1" applyAlignment="1">
      <alignment horizontal="center" vertical="center"/>
    </xf>
    <xf numFmtId="0" fontId="25" fillId="0" borderId="50" xfId="0" applyFont="1" applyBorder="1" applyAlignment="1">
      <alignment horizontal="center" vertical="center"/>
    </xf>
    <xf numFmtId="0" fontId="25" fillId="0" borderId="51" xfId="0" applyFont="1" applyBorder="1" applyAlignment="1">
      <alignment horizontal="center" vertical="center"/>
    </xf>
    <xf numFmtId="0" fontId="25" fillId="0" borderId="3" xfId="0" applyFont="1" applyBorder="1" applyAlignment="1">
      <alignment horizontal="center" vertical="center"/>
    </xf>
    <xf numFmtId="0" fontId="25" fillId="0" borderId="52" xfId="0" applyFont="1" applyBorder="1" applyAlignment="1">
      <alignment horizontal="center" vertical="center"/>
    </xf>
    <xf numFmtId="0" fontId="1" fillId="43" borderId="4" xfId="0" applyFont="1" applyFill="1" applyBorder="1" applyAlignment="1">
      <alignment horizontal="center" vertical="center" wrapText="1"/>
    </xf>
    <xf numFmtId="0" fontId="1" fillId="43" borderId="2" xfId="0" applyFont="1" applyFill="1" applyBorder="1" applyAlignment="1">
      <alignment horizontal="center" vertical="center" wrapText="1"/>
    </xf>
    <xf numFmtId="0" fontId="1" fillId="43" borderId="14" xfId="0" applyFont="1" applyFill="1" applyBorder="1" applyAlignment="1">
      <alignment horizontal="center" vertical="center" wrapText="1"/>
    </xf>
    <xf numFmtId="0" fontId="1" fillId="43" borderId="15"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44" borderId="14" xfId="0" applyFont="1" applyFill="1" applyBorder="1" applyAlignment="1">
      <alignment horizontal="center" vertical="center" wrapText="1"/>
    </xf>
    <xf numFmtId="0" fontId="1" fillId="45" borderId="2" xfId="0" applyFont="1" applyFill="1" applyBorder="1" applyAlignment="1">
      <alignment horizontal="center" vertical="center" wrapText="1"/>
    </xf>
    <xf numFmtId="0" fontId="1" fillId="46" borderId="2" xfId="0" applyFont="1" applyFill="1" applyBorder="1" applyAlignment="1">
      <alignment horizontal="center" vertical="center" wrapText="1"/>
    </xf>
    <xf numFmtId="0" fontId="1" fillId="0" borderId="15" xfId="0" applyFont="1" applyBorder="1" applyAlignment="1">
      <alignment horizontal="center" vertical="center" wrapText="1"/>
    </xf>
    <xf numFmtId="0" fontId="1" fillId="44" borderId="2" xfId="0" applyFont="1" applyFill="1" applyBorder="1" applyAlignment="1">
      <alignment horizontal="center" vertical="center" wrapText="1"/>
    </xf>
    <xf numFmtId="0" fontId="1" fillId="45" borderId="14" xfId="0" applyFont="1" applyFill="1" applyBorder="1" applyAlignment="1">
      <alignment horizontal="center" vertical="center" wrapText="1"/>
    </xf>
    <xf numFmtId="0" fontId="1" fillId="0" borderId="2" xfId="0" applyFont="1" applyBorder="1" applyAlignment="1">
      <alignment wrapText="1"/>
    </xf>
    <xf numFmtId="0" fontId="1" fillId="0" borderId="15" xfId="0" applyFont="1" applyBorder="1" applyAlignment="1">
      <alignment wrapText="1"/>
    </xf>
    <xf numFmtId="0" fontId="1" fillId="0" borderId="20" xfId="0" applyFont="1" applyBorder="1" applyAlignment="1">
      <alignment wrapText="1"/>
    </xf>
    <xf numFmtId="0" fontId="26" fillId="47" borderId="14" xfId="0" applyFont="1" applyFill="1" applyBorder="1" applyAlignment="1">
      <alignment horizontal="center" vertical="center" wrapText="1"/>
    </xf>
    <xf numFmtId="0" fontId="25" fillId="0" borderId="0" xfId="0" applyFont="1" applyAlignment="1">
      <alignment horizontal="center" vertical="center" wrapText="1"/>
    </xf>
    <xf numFmtId="0" fontId="1" fillId="0" borderId="53" xfId="0" applyFont="1" applyBorder="1" applyAlignment="1">
      <alignment wrapText="1"/>
    </xf>
    <xf numFmtId="0" fontId="26" fillId="47" borderId="2" xfId="0" applyFont="1" applyFill="1" applyBorder="1" applyAlignment="1">
      <alignment horizontal="center" vertical="center" wrapText="1"/>
    </xf>
    <xf numFmtId="0" fontId="1" fillId="46" borderId="16" xfId="0" applyFont="1" applyFill="1" applyBorder="1" applyAlignment="1">
      <alignment vertical="center" wrapText="1"/>
    </xf>
    <xf numFmtId="0" fontId="1" fillId="0" borderId="26" xfId="0" applyFont="1" applyBorder="1" applyAlignment="1">
      <alignment wrapText="1"/>
    </xf>
    <xf numFmtId="0" fontId="1" fillId="0" borderId="39" xfId="0" applyFont="1" applyBorder="1" applyAlignment="1">
      <alignment wrapText="1"/>
    </xf>
    <xf numFmtId="0" fontId="1" fillId="48" borderId="2" xfId="0" applyFont="1" applyFill="1" applyBorder="1" applyAlignment="1">
      <alignment horizontal="center" vertical="center" wrapText="1"/>
    </xf>
    <xf numFmtId="0" fontId="41" fillId="0" borderId="0" xfId="0" applyFont="1" applyAlignment="1">
      <alignment horizontal="center" vertical="center" wrapText="1"/>
    </xf>
    <xf numFmtId="0" fontId="82" fillId="0" borderId="0" xfId="0" applyFont="1" applyAlignment="1">
      <alignment horizontal="left" wrapText="1"/>
    </xf>
    <xf numFmtId="0" fontId="18" fillId="0" borderId="54" xfId="0" applyFont="1" applyBorder="1" applyAlignment="1">
      <alignment vertical="center"/>
    </xf>
    <xf numFmtId="0" fontId="18" fillId="0" borderId="55" xfId="0" applyFont="1" applyBorder="1"/>
    <xf numFmtId="0" fontId="7" fillId="23" borderId="56" xfId="0" applyFont="1" applyFill="1" applyBorder="1" applyAlignment="1">
      <alignment horizontal="center" vertical="center" wrapText="1"/>
    </xf>
    <xf numFmtId="0" fontId="18" fillId="0" borderId="0" xfId="0" applyFont="1" applyAlignment="1">
      <alignment horizontal="left" wrapText="1"/>
    </xf>
    <xf numFmtId="0" fontId="24" fillId="23" borderId="56" xfId="0" applyFont="1" applyFill="1" applyBorder="1" applyAlignment="1">
      <alignment horizontal="left" vertical="center" wrapText="1"/>
    </xf>
    <xf numFmtId="0" fontId="18" fillId="49" borderId="56" xfId="0" applyFont="1" applyFill="1" applyBorder="1" applyAlignment="1">
      <alignment horizontal="center" vertical="center" wrapText="1"/>
    </xf>
    <xf numFmtId="0" fontId="18" fillId="0" borderId="56" xfId="0" applyFont="1" applyBorder="1" applyAlignment="1">
      <alignment horizontal="left" vertical="center" wrapText="1"/>
    </xf>
    <xf numFmtId="0" fontId="18" fillId="0" borderId="56" xfId="0" applyFont="1" applyBorder="1" applyAlignment="1">
      <alignment horizontal="center" vertical="center" wrapText="1"/>
    </xf>
    <xf numFmtId="0" fontId="18" fillId="22" borderId="56" xfId="0" applyFont="1" applyFill="1" applyBorder="1" applyAlignment="1">
      <alignment horizontal="left" vertical="center" wrapText="1"/>
    </xf>
    <xf numFmtId="0" fontId="18" fillId="22" borderId="56" xfId="0" applyFont="1" applyFill="1" applyBorder="1" applyAlignment="1">
      <alignment horizontal="center" vertical="center" wrapText="1"/>
    </xf>
    <xf numFmtId="0" fontId="83" fillId="0" borderId="0" xfId="0" applyFont="1" applyAlignment="1">
      <alignment horizontal="center" vertical="center" wrapText="1"/>
    </xf>
    <xf numFmtId="0" fontId="18" fillId="22" borderId="56" xfId="0" applyFont="1" applyFill="1" applyBorder="1" applyAlignment="1">
      <alignment vertical="center"/>
    </xf>
    <xf numFmtId="0" fontId="18" fillId="22" borderId="56" xfId="0" applyFont="1" applyFill="1" applyBorder="1" applyAlignment="1">
      <alignment horizontal="center" vertical="center"/>
    </xf>
    <xf numFmtId="0" fontId="18" fillId="23" borderId="56" xfId="0" applyFont="1" applyFill="1" applyBorder="1"/>
    <xf numFmtId="0" fontId="18" fillId="0" borderId="56" xfId="0" applyFont="1" applyBorder="1" applyAlignment="1">
      <alignment horizontal="left" vertical="center"/>
    </xf>
    <xf numFmtId="0" fontId="18" fillId="0" borderId="56" xfId="0" applyFont="1" applyBorder="1" applyAlignment="1">
      <alignment horizontal="center" vertical="center"/>
    </xf>
    <xf numFmtId="166" fontId="41" fillId="5" borderId="0" xfId="0" applyNumberFormat="1" applyFont="1" applyFill="1" applyAlignment="1">
      <alignment horizontal="center" vertical="center" wrapText="1"/>
    </xf>
    <xf numFmtId="0" fontId="18" fillId="22" borderId="56" xfId="0" applyFont="1" applyFill="1" applyBorder="1" applyAlignment="1">
      <alignment horizontal="left" vertical="center"/>
    </xf>
    <xf numFmtId="9" fontId="41" fillId="0" borderId="0" xfId="0" applyNumberFormat="1" applyFont="1" applyAlignment="1">
      <alignment horizontal="center" vertical="center" wrapText="1"/>
    </xf>
    <xf numFmtId="9" fontId="18" fillId="0" borderId="0" xfId="0" applyNumberFormat="1" applyFont="1" applyAlignment="1">
      <alignment horizontal="center" vertical="center"/>
    </xf>
    <xf numFmtId="0" fontId="18" fillId="0" borderId="57" xfId="0" applyFont="1" applyBorder="1" applyAlignment="1">
      <alignment horizontal="left" vertical="center"/>
    </xf>
    <xf numFmtId="0" fontId="18" fillId="0" borderId="57" xfId="0" applyFont="1" applyBorder="1" applyAlignment="1">
      <alignment horizontal="center" vertical="center"/>
    </xf>
    <xf numFmtId="0" fontId="18" fillId="22" borderId="2" xfId="0" applyFont="1" applyFill="1" applyBorder="1" applyAlignment="1">
      <alignment horizontal="left" vertical="center"/>
    </xf>
    <xf numFmtId="0" fontId="18" fillId="22" borderId="2" xfId="0" applyFont="1" applyFill="1" applyBorder="1" applyAlignment="1">
      <alignment horizontal="center" vertical="center"/>
    </xf>
    <xf numFmtId="166" fontId="41" fillId="0" borderId="0" xfId="0" applyNumberFormat="1" applyFont="1" applyAlignment="1">
      <alignment horizontal="center" vertical="center" wrapText="1"/>
    </xf>
    <xf numFmtId="0" fontId="25" fillId="30" borderId="0" xfId="0" applyFont="1" applyFill="1"/>
    <xf numFmtId="0" fontId="84" fillId="30" borderId="0" xfId="0" applyFont="1" applyFill="1"/>
    <xf numFmtId="14" fontId="1" fillId="0" borderId="0" xfId="0" applyNumberFormat="1" applyFont="1"/>
    <xf numFmtId="0" fontId="5" fillId="18" borderId="0" xfId="0" applyFont="1" applyFill="1"/>
    <xf numFmtId="0" fontId="6" fillId="3" borderId="0" xfId="0" applyFont="1" applyFill="1"/>
    <xf numFmtId="0" fontId="10"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5.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25.xml"/><Relationship Id="rId8" Type="http://schemas.openxmlformats.org/officeDocument/2006/relationships/worksheet" Target="worksheets/sheet23.xml"/><Relationship Id="rId9" Type="http://schemas.openxmlformats.org/officeDocument/2006/relationships/worksheet" Target="worksheets/sheet2.xml"/><Relationship Id="rId10" Type="http://schemas.openxmlformats.org/officeDocument/2006/relationships/worksheet" Target="worksheets/sheet26.xml"/><Relationship Id="rId11" Type="http://schemas.openxmlformats.org/officeDocument/2006/relationships/worksheet" Target="worksheets/sheet4.xml"/><Relationship Id="rId12" Type="http://schemas.openxmlformats.org/officeDocument/2006/relationships/worksheet" Target="worksheets/sheet3.xml"/><Relationship Id="rId13" Type="http://schemas.openxmlformats.org/officeDocument/2006/relationships/worksheet" Target="worksheets/sheet17.xml"/><Relationship Id="rId14" Type="http://schemas.openxmlformats.org/officeDocument/2006/relationships/worksheet" Target="worksheets/sheet18.xml"/><Relationship Id="rId15" Type="http://schemas.openxmlformats.org/officeDocument/2006/relationships/worksheet" Target="worksheets/sheet22.xml"/><Relationship Id="rId16" Type="http://schemas.openxmlformats.org/officeDocument/2006/relationships/worksheet" Target="worksheets/sheet16.xml"/><Relationship Id="rId17" Type="http://schemas.openxmlformats.org/officeDocument/2006/relationships/worksheet" Target="worksheets/sheet19.xml"/><Relationship Id="rId18" Type="http://schemas.openxmlformats.org/officeDocument/2006/relationships/worksheet" Target="worksheets/sheet20.xml"/><Relationship Id="rId19" Type="http://schemas.openxmlformats.org/officeDocument/2006/relationships/worksheet" Target="worksheets/sheet14.xml"/><Relationship Id="rId20" Type="http://schemas.openxmlformats.org/officeDocument/2006/relationships/worksheet" Target="worksheets/sheet7.xml"/><Relationship Id="rId21" Type="http://schemas.openxmlformats.org/officeDocument/2006/relationships/worksheet" Target="worksheets/sheet1.xml"/><Relationship Id="rId22" Type="http://schemas.openxmlformats.org/officeDocument/2006/relationships/worksheet" Target="worksheets/sheet12.xml"/><Relationship Id="rId23" Type="http://schemas.openxmlformats.org/officeDocument/2006/relationships/worksheet" Target="worksheets/sheet1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6.emf"/></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3365500</xdr:colOff>
      <xdr:row>2</xdr:row>
      <xdr:rowOff>101113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228600</xdr:colOff>
      <xdr:row>0</xdr:row>
      <xdr:rowOff>177800</xdr:rowOff>
    </xdr:from>
    <xdr:to>
      <xdr:col>2</xdr:col>
      <xdr:colOff>1384300</xdr:colOff>
      <xdr:row>0</xdr:row>
      <xdr:rowOff>1258703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169333</xdr:rowOff>
    </xdr:from>
    <xdr:to>
      <xdr:col>2</xdr:col>
      <xdr:colOff>783167</xdr:colOff>
      <xdr:row>0</xdr:row>
      <xdr:rowOff>1667446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169333</xdr:rowOff>
    </xdr:from>
    <xdr:to>
      <xdr:col>1</xdr:col>
      <xdr:colOff>2376714</xdr:colOff>
      <xdr:row>0</xdr:row>
      <xdr:rowOff>1930291</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228600</xdr:colOff>
      <xdr:row>0</xdr:row>
      <xdr:rowOff>177800</xdr:rowOff>
    </xdr:from>
    <xdr:to>
      <xdr:col>1</xdr:col>
      <xdr:colOff>1384300</xdr:colOff>
      <xdr:row>0</xdr:row>
      <xdr:rowOff>1258703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12700</xdr:colOff>
      <xdr:row>0</xdr:row>
      <xdr:rowOff>25400</xdr:rowOff>
    </xdr:from>
    <xdr:to>
      <xdr:col>1</xdr:col>
      <xdr:colOff>492983</xdr:colOff>
      <xdr:row>0</xdr:row>
      <xdr:rowOff>685800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127000</xdr:colOff>
      <xdr:row>1</xdr:row>
      <xdr:rowOff>52616</xdr:rowOff>
    </xdr:from>
    <xdr:to>
      <xdr:col>4</xdr:col>
      <xdr:colOff>1669143</xdr:colOff>
      <xdr:row>1</xdr:row>
      <xdr:rowOff>734690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139700</xdr:colOff>
      <xdr:row>0</xdr:row>
      <xdr:rowOff>114301</xdr:rowOff>
    </xdr:from>
    <xdr:to>
      <xdr:col>0</xdr:col>
      <xdr:colOff>1866900</xdr:colOff>
      <xdr:row>0</xdr:row>
      <xdr:rowOff>977900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127000</xdr:colOff>
      <xdr:row>20</xdr:row>
      <xdr:rowOff>114301</xdr:rowOff>
    </xdr:from>
    <xdr:ext cx="1727200" cy="774699"/>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42333</xdr:colOff>
      <xdr:row>0</xdr:row>
      <xdr:rowOff>70555</xdr:rowOff>
    </xdr:from>
    <xdr:to>
      <xdr:col>1</xdr:col>
      <xdr:colOff>904018</xdr:colOff>
      <xdr:row>0</xdr:row>
      <xdr:rowOff>1185333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54428</xdr:rowOff>
    </xdr:from>
    <xdr:to>
      <xdr:col>0</xdr:col>
      <xdr:colOff>1496786</xdr:colOff>
      <xdr:row>0</xdr:row>
      <xdr:rowOff>717785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1016000</xdr:colOff>
      <xdr:row>2</xdr:row>
      <xdr:rowOff>101113</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drawing" Target="../drawings/drawing10.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7"/>
  <sheetViews>
    <sheetView workbookViewId="0" zoomScale="140" zoomScaleNormal="140">
      <selection activeCell="M28" sqref="M28"/>
    </sheetView>
  </sheetViews>
  <sheetFormatPr defaultRowHeight="16" outlineLevelRow="0" outlineLevelCol="0" x14ac:dyDescent="0" defaultColWidth="8.83203125" customHeight="1"/>
  <cols>
    <col min="1" max="1" width="39.33203125" style="90" customWidth="1"/>
    <col min="2" max="2" width="16.6640625" style="90" customWidth="1"/>
    <col min="3" max="4" width="13.83203125" style="90" customWidth="1"/>
    <col min="5" max="5" width="12.33203125" style="90" customWidth="1"/>
    <col min="6" max="6" width="14.5" style="90" customWidth="1"/>
    <col min="7" max="7" width="10.1640625" style="90" customWidth="1"/>
    <col min="8" max="8" width="11.5" style="90" customWidth="1"/>
    <col min="9" max="16384" width="8.83203125" style="90" customWidth="1"/>
  </cols>
  <sheetData>
    <row r="1" ht="68" customHeight="1" spans="1:4" x14ac:dyDescent="0.25">
      <c r="A1" s="90"/>
      <c r="B1" s="410"/>
      <c r="C1" s="410"/>
      <c r="D1" s="410"/>
    </row>
    <row r="2" ht="63" customHeight="1" spans="1:8" x14ac:dyDescent="0.25">
      <c r="A2" s="411"/>
      <c r="B2" s="412" t="s">
        <v>953</v>
      </c>
      <c r="C2" s="412" t="s">
        <v>954</v>
      </c>
      <c r="D2" s="412" t="s">
        <v>955</v>
      </c>
      <c r="E2" s="90"/>
      <c r="F2" s="90"/>
      <c r="G2" s="412" t="s">
        <v>955</v>
      </c>
      <c r="H2" s="412" t="s">
        <v>956</v>
      </c>
    </row>
    <row r="3" ht="17" customHeight="1" spans="1:8" s="413" customFormat="1" x14ac:dyDescent="0.25">
      <c r="A3" s="414" t="s">
        <v>957</v>
      </c>
      <c r="B3" s="415">
        <f>SUM(B4:B17)</f>
        <v>0</v>
      </c>
      <c r="C3" s="415">
        <f>SUM(C4:C17)</f>
        <v>73</v>
      </c>
      <c r="D3" s="415">
        <f>SUM(D4:D17)</f>
        <v>0</v>
      </c>
      <c r="E3" s="413"/>
      <c r="F3" s="413"/>
      <c r="G3" s="415">
        <f>SUM(G4:G17)</f>
        <v>0</v>
      </c>
      <c r="H3" s="415">
        <f>SUM(H4:H17)</f>
        <v>0</v>
      </c>
    </row>
    <row r="4" ht="20" customHeight="1" hidden="1" spans="1:8" s="413" customFormat="1" x14ac:dyDescent="0.25">
      <c r="A4" s="416" t="s">
        <v>684</v>
      </c>
      <c r="B4" s="417"/>
      <c r="C4" s="417">
        <v>6</v>
      </c>
      <c r="D4" s="417" t="s">
        <v>958</v>
      </c>
      <c r="E4" s="408"/>
      <c r="F4" s="408"/>
      <c r="G4" s="417" t="s">
        <v>958</v>
      </c>
      <c r="H4" s="417" t="s">
        <v>958</v>
      </c>
    </row>
    <row r="5" ht="20" customHeight="1" hidden="1" spans="1:8" s="413" customFormat="1" x14ac:dyDescent="0.25">
      <c r="A5" s="418" t="s">
        <v>681</v>
      </c>
      <c r="B5" s="419"/>
      <c r="C5" s="419">
        <v>10</v>
      </c>
      <c r="D5" s="419" t="s">
        <v>958</v>
      </c>
      <c r="E5" s="408"/>
      <c r="F5" s="408"/>
      <c r="G5" s="419" t="s">
        <v>958</v>
      </c>
      <c r="H5" s="419" t="s">
        <v>958</v>
      </c>
    </row>
    <row r="6" ht="26" customHeight="1" hidden="1" spans="1:8" s="413" customFormat="1" x14ac:dyDescent="0.25">
      <c r="A6" s="416" t="s">
        <v>679</v>
      </c>
      <c r="B6" s="417"/>
      <c r="C6" s="417">
        <v>9</v>
      </c>
      <c r="D6" s="417" t="s">
        <v>958</v>
      </c>
      <c r="E6" s="408"/>
      <c r="F6" s="408"/>
      <c r="G6" s="417" t="s">
        <v>958</v>
      </c>
      <c r="H6" s="417" t="s">
        <v>958</v>
      </c>
    </row>
    <row r="7" ht="20" customHeight="1" hidden="1" spans="1:8" s="413" customFormat="1" x14ac:dyDescent="0.25">
      <c r="A7" s="418" t="s">
        <v>680</v>
      </c>
      <c r="B7" s="419"/>
      <c r="C7" s="419">
        <v>5</v>
      </c>
      <c r="D7" s="419" t="s">
        <v>958</v>
      </c>
      <c r="E7" s="408"/>
      <c r="F7" s="408"/>
      <c r="G7" s="419" t="s">
        <v>958</v>
      </c>
      <c r="H7" s="419" t="s">
        <v>958</v>
      </c>
    </row>
    <row r="8" ht="20" customHeight="1" hidden="1" spans="1:8" s="413" customFormat="1" x14ac:dyDescent="0.25">
      <c r="A8" s="416" t="s">
        <v>683</v>
      </c>
      <c r="B8" s="417"/>
      <c r="C8" s="417">
        <v>3</v>
      </c>
      <c r="D8" s="417" t="s">
        <v>958</v>
      </c>
      <c r="E8" s="408"/>
      <c r="F8" s="408"/>
      <c r="G8" s="417" t="s">
        <v>958</v>
      </c>
      <c r="H8" s="417" t="s">
        <v>958</v>
      </c>
    </row>
    <row r="9" ht="20" customHeight="1" hidden="1" spans="1:8" s="413" customFormat="1" x14ac:dyDescent="0.25">
      <c r="A9" s="418" t="s">
        <v>676</v>
      </c>
      <c r="B9" s="419"/>
      <c r="C9" s="419">
        <v>3</v>
      </c>
      <c r="D9" s="419" t="s">
        <v>958</v>
      </c>
      <c r="E9" s="408"/>
      <c r="F9" s="408"/>
      <c r="G9" s="419" t="s">
        <v>958</v>
      </c>
      <c r="H9" s="419" t="s">
        <v>958</v>
      </c>
    </row>
    <row r="10" ht="20" customHeight="1" hidden="1" spans="1:8" s="413" customFormat="1" x14ac:dyDescent="0.25">
      <c r="A10" s="416" t="s">
        <v>678</v>
      </c>
      <c r="B10" s="417"/>
      <c r="C10" s="417">
        <v>2</v>
      </c>
      <c r="D10" s="417" t="s">
        <v>958</v>
      </c>
      <c r="E10" s="408"/>
      <c r="F10" s="408"/>
      <c r="G10" s="417" t="s">
        <v>958</v>
      </c>
      <c r="H10" s="417" t="s">
        <v>958</v>
      </c>
    </row>
    <row r="11" ht="20" customHeight="1" hidden="1" spans="1:8" s="413" customFormat="1" x14ac:dyDescent="0.25">
      <c r="A11" s="418" t="s">
        <v>687</v>
      </c>
      <c r="B11" s="419"/>
      <c r="C11" s="419">
        <v>9</v>
      </c>
      <c r="D11" s="419" t="s">
        <v>958</v>
      </c>
      <c r="E11" s="408"/>
      <c r="F11" s="408"/>
      <c r="G11" s="419" t="s">
        <v>958</v>
      </c>
      <c r="H11" s="419" t="s">
        <v>958</v>
      </c>
    </row>
    <row r="12" ht="20" customHeight="1" hidden="1" spans="1:8" s="413" customFormat="1" x14ac:dyDescent="0.25">
      <c r="A12" s="416" t="s">
        <v>685</v>
      </c>
      <c r="B12" s="417"/>
      <c r="C12" s="417">
        <v>1</v>
      </c>
      <c r="D12" s="417" t="s">
        <v>958</v>
      </c>
      <c r="E12" s="408"/>
      <c r="F12" s="408"/>
      <c r="G12" s="417" t="s">
        <v>958</v>
      </c>
      <c r="H12" s="417" t="s">
        <v>958</v>
      </c>
    </row>
    <row r="13" ht="20" customHeight="1" hidden="1" spans="1:8" s="413" customFormat="1" x14ac:dyDescent="0.25">
      <c r="A13" s="418" t="s">
        <v>677</v>
      </c>
      <c r="B13" s="419"/>
      <c r="C13" s="419">
        <v>5</v>
      </c>
      <c r="D13" s="419" t="s">
        <v>958</v>
      </c>
      <c r="E13" s="420"/>
      <c r="F13" s="420"/>
      <c r="G13" s="419" t="s">
        <v>958</v>
      </c>
      <c r="H13" s="419" t="s">
        <v>958</v>
      </c>
    </row>
    <row r="14" ht="20" customHeight="1" hidden="1" spans="1:8" s="413" customFormat="1" x14ac:dyDescent="0.25">
      <c r="A14" s="416" t="s">
        <v>682</v>
      </c>
      <c r="B14" s="417"/>
      <c r="C14" s="417">
        <v>4</v>
      </c>
      <c r="D14" s="417" t="s">
        <v>958</v>
      </c>
      <c r="E14" s="408"/>
      <c r="F14" s="408"/>
      <c r="G14" s="417" t="s">
        <v>958</v>
      </c>
      <c r="H14" s="417" t="s">
        <v>958</v>
      </c>
    </row>
    <row r="15" ht="20" customHeight="1" hidden="1" spans="1:8" s="413" customFormat="1" x14ac:dyDescent="0.25">
      <c r="A15" s="418" t="s">
        <v>686</v>
      </c>
      <c r="B15" s="419"/>
      <c r="C15" s="419">
        <v>2</v>
      </c>
      <c r="D15" s="419" t="s">
        <v>958</v>
      </c>
      <c r="E15" s="408"/>
      <c r="F15" s="408"/>
      <c r="G15" s="419" t="s">
        <v>958</v>
      </c>
      <c r="H15" s="419" t="s">
        <v>958</v>
      </c>
    </row>
    <row r="16" ht="20" customHeight="1" hidden="1" spans="1:8" s="413" customFormat="1" x14ac:dyDescent="0.25">
      <c r="A16" s="416" t="s">
        <v>923</v>
      </c>
      <c r="B16" s="417"/>
      <c r="C16" s="417">
        <v>9</v>
      </c>
      <c r="D16" s="417" t="s">
        <v>958</v>
      </c>
      <c r="E16" s="408"/>
      <c r="F16" s="408"/>
      <c r="G16" s="417" t="s">
        <v>958</v>
      </c>
      <c r="H16" s="417" t="s">
        <v>958</v>
      </c>
    </row>
    <row r="17" ht="20" customHeight="1" hidden="1" spans="1:8" x14ac:dyDescent="0.25">
      <c r="A17" s="421" t="s">
        <v>959</v>
      </c>
      <c r="B17" s="422"/>
      <c r="C17" s="422">
        <v>5</v>
      </c>
      <c r="D17" s="422" t="s">
        <v>958</v>
      </c>
      <c r="E17" s="408"/>
      <c r="F17" s="408"/>
      <c r="G17" s="422" t="s">
        <v>958</v>
      </c>
      <c r="H17" s="422" t="s">
        <v>958</v>
      </c>
    </row>
    <row r="18" ht="20" customHeight="1" hidden="1" spans="1:8" x14ac:dyDescent="0.25">
      <c r="A18" s="423"/>
      <c r="B18" s="423"/>
      <c r="C18" s="423"/>
      <c r="D18" s="423"/>
      <c r="E18" s="420"/>
      <c r="F18" s="420"/>
      <c r="G18" s="423"/>
      <c r="H18" s="423"/>
    </row>
    <row r="19" ht="20" customHeight="1" spans="1:9" s="62" customFormat="1" x14ac:dyDescent="0.25">
      <c r="A19" s="424" t="s">
        <v>960</v>
      </c>
      <c r="B19" s="425">
        <v>67</v>
      </c>
      <c r="C19" s="425">
        <v>59</v>
      </c>
      <c r="D19" s="425">
        <v>48</v>
      </c>
      <c r="E19" s="426">
        <f>(C19/D19)-1</f>
        <v>0.22916666666666674</v>
      </c>
      <c r="F19" s="424" t="s">
        <v>960</v>
      </c>
      <c r="G19" s="425">
        <v>48</v>
      </c>
      <c r="H19" s="425">
        <v>36</v>
      </c>
      <c r="I19" s="426">
        <f>G19/H19-1</f>
        <v>0.33333333333333326</v>
      </c>
    </row>
    <row r="20" ht="20" customHeight="1" spans="1:9" s="62" customFormat="1" x14ac:dyDescent="0.25">
      <c r="A20" s="427" t="s">
        <v>801</v>
      </c>
      <c r="B20" s="422">
        <v>59</v>
      </c>
      <c r="C20" s="422">
        <v>54</v>
      </c>
      <c r="D20" s="422">
        <v>47</v>
      </c>
      <c r="E20" s="426">
        <f t="shared" ref="E20:E25" si="0">(C20/D20)-1</f>
        <v>0.14893617021276606</v>
      </c>
      <c r="F20" s="427" t="s">
        <v>801</v>
      </c>
      <c r="G20" s="422">
        <v>47</v>
      </c>
      <c r="H20" s="422">
        <v>45</v>
      </c>
      <c r="I20" s="426">
        <f t="shared" ref="I20:I26" si="1">G20/H20-1</f>
        <v>0.04444444444444451</v>
      </c>
    </row>
    <row r="21" ht="20" customHeight="1" spans="1:9" s="62" customFormat="1" x14ac:dyDescent="0.25">
      <c r="A21" s="424" t="s">
        <v>961</v>
      </c>
      <c r="B21" s="425">
        <v>1</v>
      </c>
      <c r="C21" s="425">
        <v>6</v>
      </c>
      <c r="D21" s="425">
        <v>4</v>
      </c>
      <c r="E21" s="426">
        <f t="shared" si="0"/>
        <v>0.5</v>
      </c>
      <c r="F21" s="424" t="s">
        <v>961</v>
      </c>
      <c r="G21" s="425">
        <v>4</v>
      </c>
      <c r="H21" s="425">
        <v>1</v>
      </c>
      <c r="I21" s="426">
        <f t="shared" si="1"/>
        <v>3</v>
      </c>
    </row>
    <row r="22" ht="20" customHeight="1" spans="1:9" s="62" customFormat="1" x14ac:dyDescent="0.25">
      <c r="A22" s="427" t="s">
        <v>962</v>
      </c>
      <c r="B22" s="422">
        <v>15</v>
      </c>
      <c r="C22" s="422">
        <v>15</v>
      </c>
      <c r="D22" s="422">
        <v>14</v>
      </c>
      <c r="E22" s="426">
        <f t="shared" si="0"/>
        <v>0.0714285714285714</v>
      </c>
      <c r="F22" s="427" t="s">
        <v>962</v>
      </c>
      <c r="G22" s="422">
        <v>14</v>
      </c>
      <c r="H22" s="422">
        <v>14</v>
      </c>
      <c r="I22" s="426">
        <f t="shared" si="1"/>
        <v>0</v>
      </c>
    </row>
    <row r="23" ht="20" customHeight="1" spans="1:9" s="62" customFormat="1" x14ac:dyDescent="0.25">
      <c r="A23" s="424" t="s">
        <v>924</v>
      </c>
      <c r="B23" s="425">
        <v>5</v>
      </c>
      <c r="C23" s="425">
        <v>5</v>
      </c>
      <c r="D23" s="425">
        <v>5</v>
      </c>
      <c r="E23" s="428">
        <f t="shared" si="0"/>
        <v>0</v>
      </c>
      <c r="F23" s="424" t="s">
        <v>924</v>
      </c>
      <c r="G23" s="425">
        <v>5</v>
      </c>
      <c r="H23" s="425">
        <v>5</v>
      </c>
      <c r="I23" s="429">
        <f t="shared" si="1"/>
        <v>0</v>
      </c>
    </row>
    <row r="24" ht="20" customHeight="1" spans="1:9" s="62" customFormat="1" x14ac:dyDescent="0.25">
      <c r="A24" s="427" t="s">
        <v>421</v>
      </c>
      <c r="B24" s="422">
        <v>9</v>
      </c>
      <c r="C24" s="422">
        <v>13</v>
      </c>
      <c r="D24" s="422">
        <v>9</v>
      </c>
      <c r="E24" s="426">
        <f t="shared" si="0"/>
        <v>0.4444444444444444</v>
      </c>
      <c r="F24" s="427" t="s">
        <v>963</v>
      </c>
      <c r="G24" s="422">
        <v>9</v>
      </c>
      <c r="H24" s="422">
        <v>9</v>
      </c>
      <c r="I24" s="429">
        <f t="shared" si="1"/>
        <v>0</v>
      </c>
    </row>
    <row r="25" ht="20" customHeight="1" spans="1:9" s="62" customFormat="1" x14ac:dyDescent="0.25">
      <c r="A25" s="430" t="s">
        <v>964</v>
      </c>
      <c r="B25" s="431">
        <v>32</v>
      </c>
      <c r="C25" s="431">
        <v>25</v>
      </c>
      <c r="D25" s="431">
        <v>16</v>
      </c>
      <c r="E25" s="426">
        <f t="shared" si="0"/>
        <v>0.5625</v>
      </c>
      <c r="F25" s="430" t="s">
        <v>964</v>
      </c>
      <c r="G25" s="425">
        <v>16</v>
      </c>
      <c r="H25" s="425">
        <v>16</v>
      </c>
      <c r="I25" s="429">
        <f t="shared" si="1"/>
        <v>0</v>
      </c>
    </row>
    <row r="26" ht="20" customHeight="1" spans="1:9" s="62" customFormat="1" x14ac:dyDescent="0.25">
      <c r="A26" s="432" t="s">
        <v>965</v>
      </c>
      <c r="B26" s="433">
        <v>2553</v>
      </c>
      <c r="C26" s="433">
        <v>1959</v>
      </c>
      <c r="D26" s="433">
        <v>1202</v>
      </c>
      <c r="E26" s="426">
        <f>(C26/D26)-1</f>
        <v>0.6297836938435941</v>
      </c>
      <c r="F26" s="432" t="s">
        <v>965</v>
      </c>
      <c r="G26" s="433">
        <v>1202</v>
      </c>
      <c r="H26" s="433">
        <v>633</v>
      </c>
      <c r="I26" s="429">
        <f t="shared" si="1"/>
        <v>0.8988941548183254</v>
      </c>
    </row>
    <row r="27" ht="20" customHeight="1" spans="1:6" x14ac:dyDescent="0.25">
      <c r="A27" s="90"/>
      <c r="B27" s="90"/>
      <c r="C27" s="90"/>
      <c r="D27" s="90"/>
      <c r="E27" s="401"/>
      <c r="F27" s="401"/>
    </row>
    <row r="28" ht="57" customHeight="1" spans="1:4" x14ac:dyDescent="0.25">
      <c r="A28" s="90"/>
      <c r="B28" s="90"/>
      <c r="C28" s="412" t="s">
        <v>954</v>
      </c>
      <c r="D28" s="412" t="s">
        <v>956</v>
      </c>
    </row>
    <row r="29" ht="20" customHeight="1" spans="1:6" x14ac:dyDescent="0.25">
      <c r="A29" s="90"/>
      <c r="B29" s="424" t="s">
        <v>960</v>
      </c>
      <c r="C29" s="425">
        <v>59</v>
      </c>
      <c r="D29" s="425">
        <v>36</v>
      </c>
      <c r="E29" s="426">
        <f>C29/D29-1</f>
        <v>0.6388888888888888</v>
      </c>
      <c r="F29" s="434"/>
    </row>
    <row r="30" ht="20" customHeight="1" spans="1:6" x14ac:dyDescent="0.25">
      <c r="A30" s="90"/>
      <c r="B30" s="427" t="s">
        <v>801</v>
      </c>
      <c r="C30" s="422">
        <v>54</v>
      </c>
      <c r="D30" s="422">
        <v>45</v>
      </c>
      <c r="E30" s="426">
        <f t="shared" ref="E30:E36" si="2">C30/D30-1</f>
        <v>0.19999999999999996</v>
      </c>
      <c r="F30" s="434"/>
    </row>
    <row r="31" ht="20" customHeight="1" spans="1:6" x14ac:dyDescent="0.25">
      <c r="A31" s="90"/>
      <c r="B31" s="424" t="s">
        <v>961</v>
      </c>
      <c r="C31" s="425">
        <v>6</v>
      </c>
      <c r="D31" s="425">
        <v>1</v>
      </c>
      <c r="E31" s="426">
        <f t="shared" si="2"/>
        <v>5</v>
      </c>
      <c r="F31" s="434"/>
    </row>
    <row r="32" ht="20" customHeight="1" spans="1:6" x14ac:dyDescent="0.25">
      <c r="A32" s="90"/>
      <c r="B32" s="427" t="s">
        <v>962</v>
      </c>
      <c r="C32" s="422">
        <v>15</v>
      </c>
      <c r="D32" s="422">
        <v>14</v>
      </c>
      <c r="E32" s="426">
        <f t="shared" si="2"/>
        <v>0.0714285714285714</v>
      </c>
      <c r="F32" s="434"/>
    </row>
    <row r="33" ht="20" customHeight="1" spans="1:6" x14ac:dyDescent="0.25">
      <c r="A33" s="90"/>
      <c r="B33" s="424" t="s">
        <v>924</v>
      </c>
      <c r="C33" s="425">
        <v>5</v>
      </c>
      <c r="D33" s="425">
        <v>5</v>
      </c>
      <c r="E33" s="428">
        <f t="shared" si="2"/>
        <v>0</v>
      </c>
      <c r="F33" s="428"/>
    </row>
    <row r="34" ht="20" customHeight="1" spans="1:6" x14ac:dyDescent="0.25">
      <c r="A34" s="90"/>
      <c r="B34" s="427" t="s">
        <v>963</v>
      </c>
      <c r="C34" s="422">
        <v>9</v>
      </c>
      <c r="D34" s="422">
        <v>9</v>
      </c>
      <c r="E34" s="428">
        <f t="shared" si="2"/>
        <v>0</v>
      </c>
      <c r="F34" s="428"/>
    </row>
    <row r="35" ht="20" customHeight="1" spans="1:6" x14ac:dyDescent="0.25">
      <c r="A35" s="90"/>
      <c r="B35" s="430" t="s">
        <v>964</v>
      </c>
      <c r="C35" s="425">
        <v>25</v>
      </c>
      <c r="D35" s="425">
        <v>16</v>
      </c>
      <c r="E35" s="426">
        <f t="shared" si="2"/>
        <v>0.5625</v>
      </c>
      <c r="F35" s="434"/>
    </row>
    <row r="36" ht="20" customHeight="1" spans="1:6" x14ac:dyDescent="0.25">
      <c r="A36" s="90"/>
      <c r="B36" s="432" t="s">
        <v>965</v>
      </c>
      <c r="C36" s="433">
        <v>1959</v>
      </c>
      <c r="D36" s="433">
        <v>1202</v>
      </c>
      <c r="E36" s="426">
        <f t="shared" si="2"/>
        <v>0.6297836938435941</v>
      </c>
      <c r="F36" s="428"/>
    </row>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row r="46" ht="20" customHeight="1" x14ac:dyDescent="0.25"/>
    <row r="47" ht="20" customHeight="1" x14ac:dyDescent="0.25"/>
    <row r="48"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5" customHeight="1" x14ac:dyDescent="0.25"/>
  </sheetData>
  <printOptions horizontalCentered="1" verticalCentered="1"/>
  <pageMargins left="0" right="0" top="0" bottom="0" header="0" footer="0"/>
  <pageSetup paperSize="9" orientation="landscape" horizontalDpi="4294967295" verticalDpi="4294967295" scale="96" fitToWidth="1" fitToHeight="1" firstPageNumber="1" useFirstPageNumber="1" copies="1"/>
  <drawing r:id="rId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
  <sheetViews>
    <sheetView workbookViewId="0" zoomScale="100" zoomScaleNormal="100">
      <selection activeCell="B3" sqref="B3"/>
    </sheetView>
  </sheetViews>
  <sheetFormatPr defaultRowHeight="16" outlineLevelRow="0" outlineLevelCol="0" x14ac:dyDescent="0" defaultColWidth="10.83203125" customHeight="1"/>
  <cols>
    <col min="1" max="1" width="29" style="90" customWidth="1"/>
    <col min="2" max="2" width="69.33203125" style="90" customWidth="1"/>
    <col min="3" max="3" width="23.33203125" style="90" customWidth="1"/>
    <col min="4" max="6" width="10.83203125" style="90" customWidth="1"/>
    <col min="7" max="7" width="19.33203125" style="90" customWidth="1"/>
    <col min="8" max="8" width="21.33203125" style="90" customWidth="1"/>
    <col min="9" max="12" width="10.83203125" style="90" customWidth="1"/>
    <col min="13" max="13" width="34.83203125" style="90" customWidth="1"/>
    <col min="14" max="16384" width="10.83203125" style="90" customWidth="1"/>
  </cols>
  <sheetData>
    <row r="1" ht="27" customHeight="1" spans="1:7" x14ac:dyDescent="0.25">
      <c r="A1" s="91" t="s">
        <v>227</v>
      </c>
      <c r="B1" s="92"/>
      <c r="C1" s="59"/>
      <c r="D1" s="59"/>
      <c r="E1" s="59"/>
      <c r="F1" s="59"/>
      <c r="G1" s="59"/>
    </row>
    <row r="2" ht="23" customHeight="1" spans="1:7" x14ac:dyDescent="0.25">
      <c r="A2" s="93" t="s">
        <v>228</v>
      </c>
      <c r="B2" s="93">
        <f>COUNTA(B3:B70)</f>
        <v>68</v>
      </c>
      <c r="C2" s="59"/>
      <c r="D2" s="87" t="s">
        <v>229</v>
      </c>
      <c r="E2" s="94"/>
      <c r="F2" s="94"/>
      <c r="G2" s="59"/>
    </row>
  </sheetData>
  <mergeCells count="1">
    <mergeCell ref="A1:B1"/>
  </mergeCells>
  <printOptions horizontalCentered="1" verticalCentered="1"/>
  <pageMargins left="0" right="0" top="0.25" bottom="0.25" header="0.3" footer="0.3"/>
  <pageSetup paperSize="9" orientation="portrait" horizontalDpi="4294967295" verticalDpi="4294967295" scale="5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7"/>
  <sheetViews>
    <sheetView workbookViewId="0" zoomScale="100" zoomScaleNormal="100">
      <selection activeCell="G24" sqref="G24"/>
    </sheetView>
  </sheetViews>
  <sheetFormatPr defaultRowHeight="16" outlineLevelRow="0" outlineLevelCol="0" x14ac:dyDescent="0" defaultColWidth="11" customHeight="1"/>
  <cols>
    <col min="1" max="1" width="13.1640625" customWidth="1"/>
    <col min="2" max="2" width="58.5" customWidth="1"/>
    <col min="3" max="3" width="30.33203125" customWidth="1"/>
    <col min="4" max="4" width="33.5" customWidth="1"/>
    <col min="5" max="5" width="11.5" customWidth="1"/>
    <col min="6" max="6" width="24.6640625" customWidth="1"/>
    <col min="7" max="7" width="19" customWidth="1"/>
    <col min="8" max="8" width="14.83203125" customWidth="1"/>
    <col min="9" max="9" width="24" customWidth="1"/>
    <col min="10" max="10" width="22.83203125" customWidth="1"/>
    <col min="11" max="11" width="15.1640625" customWidth="1"/>
    <col min="13" max="13" width="33.83203125" customWidth="1"/>
    <col min="14" max="14" width="25.33203125" customWidth="1"/>
  </cols>
  <sheetData>
    <row r="1" ht="60" customHeight="1" spans="1:3" x14ac:dyDescent="0.25">
      <c r="C1" s="157" t="s">
        <v>367</v>
      </c>
    </row>
    <row r="2" ht="62" customHeight="1" spans="1:6" x14ac:dyDescent="0.25">
      <c r="C2" s="86"/>
      <c r="D2" s="86"/>
      <c r="F2" s="86"/>
    </row>
    <row r="3" ht="23" customHeight="1" spans="1:6" x14ac:dyDescent="0.25">
      <c r="C3" s="86"/>
      <c r="D3" s="86"/>
      <c r="F3" s="86"/>
    </row>
    <row r="4" ht="23" customHeight="1" spans="1:10" x14ac:dyDescent="0.25">
      <c r="A4" s="158" t="s">
        <v>368</v>
      </c>
      <c r="B4" s="158"/>
      <c r="D4" s="159" t="s">
        <v>369</v>
      </c>
      <c r="E4" s="160"/>
      <c r="F4" s="160"/>
      <c r="G4" s="160"/>
      <c r="H4" s="160"/>
      <c r="I4" s="160"/>
      <c r="J4" s="161"/>
    </row>
    <row r="5" ht="26" customHeight="1" spans="1:5" x14ac:dyDescent="0.25">
      <c r="A5" s="158">
        <f>COUNTA(B6:B25)</f>
        <v>20</v>
      </c>
      <c r="B5" s="158"/>
      <c r="D5" s="162"/>
      <c r="E5" s="163">
        <f>(E6*100)/45/100</f>
        <v>0.4666666666666666</v>
      </c>
    </row>
    <row r="6" ht="21" customHeight="1" spans="1:10" x14ac:dyDescent="0.25">
      <c r="A6" s="164">
        <v>45012</v>
      </c>
      <c r="B6" s="165" t="s">
        <v>112</v>
      </c>
      <c r="D6" s="166">
        <f>COUNTA(D7:D51)</f>
        <v>45</v>
      </c>
      <c r="E6" s="167">
        <f>COUNTA(E7:E51)</f>
        <v>21</v>
      </c>
      <c r="F6" s="168" t="s">
        <v>370</v>
      </c>
      <c r="G6" s="169" t="s">
        <v>371</v>
      </c>
      <c r="H6" s="169" t="s">
        <v>372</v>
      </c>
      <c r="I6" s="169" t="s">
        <v>373</v>
      </c>
      <c r="J6" s="169" t="s">
        <v>374</v>
      </c>
    </row>
    <row r="7" ht="21" customHeight="1" spans="1:10" x14ac:dyDescent="0.25">
      <c r="A7" s="170"/>
      <c r="B7" s="171" t="s">
        <v>15</v>
      </c>
      <c r="D7" s="172" t="s">
        <v>7</v>
      </c>
      <c r="E7" s="173">
        <v>1</v>
      </c>
      <c r="F7" s="174">
        <v>1</v>
      </c>
      <c r="G7" s="175"/>
      <c r="H7" s="175"/>
      <c r="I7" s="175"/>
      <c r="J7" s="176"/>
    </row>
    <row r="8" ht="21" customHeight="1" spans="1:10" x14ac:dyDescent="0.25">
      <c r="A8" s="170"/>
      <c r="B8" s="171" t="s">
        <v>32</v>
      </c>
      <c r="D8" s="177" t="s">
        <v>375</v>
      </c>
      <c r="E8" s="178"/>
      <c r="F8" s="174"/>
      <c r="G8" s="175"/>
      <c r="H8" s="175"/>
      <c r="I8" s="175"/>
      <c r="J8" s="176"/>
    </row>
    <row r="9" ht="21" customHeight="1" spans="1:10" x14ac:dyDescent="0.25">
      <c r="A9" s="179">
        <v>2021</v>
      </c>
      <c r="B9" s="171" t="s">
        <v>39</v>
      </c>
      <c r="D9" s="177" t="s">
        <v>376</v>
      </c>
      <c r="E9" s="178"/>
      <c r="F9" s="174"/>
      <c r="G9" s="175"/>
      <c r="H9" s="175"/>
      <c r="I9" s="175"/>
      <c r="J9" s="176"/>
    </row>
    <row r="10" ht="21" customHeight="1" spans="1:10" x14ac:dyDescent="0.25">
      <c r="A10" s="170"/>
      <c r="B10" s="171" t="s">
        <v>47</v>
      </c>
      <c r="D10" s="177" t="s">
        <v>377</v>
      </c>
      <c r="E10" s="178"/>
      <c r="F10" s="174"/>
      <c r="G10" s="175"/>
      <c r="H10" s="175"/>
      <c r="I10" s="175"/>
      <c r="J10" s="176"/>
    </row>
    <row r="11" ht="21" customHeight="1" spans="1:10" x14ac:dyDescent="0.25">
      <c r="A11" s="170"/>
      <c r="B11" s="171" t="s">
        <v>378</v>
      </c>
      <c r="D11" s="172" t="s">
        <v>15</v>
      </c>
      <c r="E11" s="173">
        <v>1</v>
      </c>
      <c r="F11" s="174">
        <v>2</v>
      </c>
      <c r="G11" s="175"/>
      <c r="H11" s="175"/>
      <c r="I11" s="175"/>
      <c r="J11" s="176"/>
    </row>
    <row r="12" ht="21" customHeight="1" spans="1:10" x14ac:dyDescent="0.25">
      <c r="A12" s="179">
        <v>2021</v>
      </c>
      <c r="B12" s="171" t="s">
        <v>59</v>
      </c>
      <c r="D12" s="180" t="s">
        <v>23</v>
      </c>
      <c r="E12" s="181">
        <v>1</v>
      </c>
      <c r="F12" s="174">
        <v>1</v>
      </c>
      <c r="G12" s="175"/>
      <c r="H12" s="175"/>
      <c r="I12" s="175"/>
      <c r="J12" s="176"/>
    </row>
    <row r="13" ht="21" customHeight="1" spans="1:10" x14ac:dyDescent="0.25">
      <c r="A13" s="170"/>
      <c r="B13" s="171" t="s">
        <v>69</v>
      </c>
      <c r="D13" s="172" t="s">
        <v>32</v>
      </c>
      <c r="E13" s="173">
        <v>1</v>
      </c>
      <c r="F13" s="174">
        <v>4</v>
      </c>
      <c r="G13" s="175"/>
      <c r="H13" s="175"/>
      <c r="I13" s="175">
        <v>1</v>
      </c>
      <c r="J13" s="176"/>
    </row>
    <row r="14" ht="21" customHeight="1" spans="1:10" x14ac:dyDescent="0.25">
      <c r="A14" s="170"/>
      <c r="B14" s="171" t="s">
        <v>74</v>
      </c>
      <c r="D14" s="172" t="s">
        <v>39</v>
      </c>
      <c r="E14" s="173">
        <v>1</v>
      </c>
      <c r="F14" s="174">
        <v>29</v>
      </c>
      <c r="G14" s="175">
        <v>1</v>
      </c>
      <c r="H14" s="175"/>
      <c r="I14" s="175">
        <v>2</v>
      </c>
      <c r="J14" s="176"/>
    </row>
    <row r="15" ht="21" customHeight="1" spans="1:10" x14ac:dyDescent="0.25">
      <c r="A15" s="170"/>
      <c r="B15" s="171" t="s">
        <v>379</v>
      </c>
      <c r="D15" s="177" t="s">
        <v>380</v>
      </c>
      <c r="E15" s="178"/>
      <c r="F15" s="174"/>
      <c r="G15" s="175"/>
      <c r="H15" s="175"/>
      <c r="I15" s="175"/>
      <c r="J15" s="176"/>
    </row>
    <row r="16" ht="21" customHeight="1" spans="1:10" x14ac:dyDescent="0.25">
      <c r="A16" s="170"/>
      <c r="B16" s="171" t="s">
        <v>91</v>
      </c>
      <c r="D16" s="177" t="s">
        <v>381</v>
      </c>
      <c r="E16" s="178"/>
      <c r="F16" s="174"/>
      <c r="G16" s="175"/>
      <c r="H16" s="175"/>
      <c r="I16" s="175"/>
      <c r="J16" s="176"/>
    </row>
    <row r="17" ht="21" customHeight="1" spans="1:10" x14ac:dyDescent="0.25">
      <c r="A17" s="170"/>
      <c r="B17" s="171" t="s">
        <v>96</v>
      </c>
      <c r="D17" s="177" t="s">
        <v>382</v>
      </c>
      <c r="E17" s="178"/>
      <c r="F17" s="174"/>
      <c r="G17" s="175"/>
      <c r="H17" s="175"/>
      <c r="I17" s="175"/>
      <c r="J17" s="176"/>
    </row>
    <row r="18" ht="21" customHeight="1" spans="1:10" x14ac:dyDescent="0.25">
      <c r="A18" s="170"/>
      <c r="B18" s="171" t="s">
        <v>107</v>
      </c>
      <c r="D18" s="177" t="s">
        <v>383</v>
      </c>
      <c r="E18" s="178"/>
      <c r="F18" s="174"/>
      <c r="G18" s="175"/>
      <c r="H18" s="175"/>
      <c r="I18" s="175"/>
      <c r="J18" s="176"/>
    </row>
    <row r="19" ht="21" customHeight="1" spans="1:10" x14ac:dyDescent="0.25">
      <c r="A19" s="182">
        <v>45352</v>
      </c>
      <c r="B19" s="165" t="s">
        <v>112</v>
      </c>
      <c r="D19" s="172" t="s">
        <v>47</v>
      </c>
      <c r="E19" s="173">
        <v>1</v>
      </c>
      <c r="F19" s="174">
        <v>3</v>
      </c>
      <c r="G19" s="175"/>
      <c r="H19" s="175"/>
      <c r="I19" s="175"/>
      <c r="J19" s="176"/>
    </row>
    <row r="20" ht="21" customHeight="1" spans="1:10" x14ac:dyDescent="0.25">
      <c r="A20" s="170"/>
      <c r="B20" s="171" t="s">
        <v>120</v>
      </c>
      <c r="D20" s="177" t="s">
        <v>384</v>
      </c>
      <c r="E20" s="178"/>
      <c r="F20" s="174"/>
      <c r="G20" s="175"/>
      <c r="H20" s="175"/>
      <c r="I20" s="175"/>
      <c r="J20" s="176"/>
    </row>
    <row r="21" ht="21" customHeight="1" spans="1:10" x14ac:dyDescent="0.25">
      <c r="A21" s="170"/>
      <c r="B21" s="171" t="s">
        <v>124</v>
      </c>
      <c r="D21" s="177" t="s">
        <v>385</v>
      </c>
      <c r="E21" s="178"/>
      <c r="F21" s="174"/>
      <c r="G21" s="175"/>
      <c r="H21" s="175"/>
      <c r="I21" s="175"/>
      <c r="J21" s="176"/>
    </row>
    <row r="22" ht="21" customHeight="1" spans="1:10" x14ac:dyDescent="0.25">
      <c r="A22" s="182">
        <v>45689</v>
      </c>
      <c r="B22" s="171" t="s">
        <v>7</v>
      </c>
      <c r="D22" s="177" t="s">
        <v>386</v>
      </c>
      <c r="E22" s="178"/>
      <c r="F22" s="174"/>
      <c r="G22" s="175"/>
      <c r="H22" s="175"/>
      <c r="I22" s="175"/>
      <c r="J22" s="176"/>
    </row>
    <row r="23" ht="21" customHeight="1" spans="1:10" x14ac:dyDescent="0.25">
      <c r="A23" s="182">
        <v>45809</v>
      </c>
      <c r="B23" s="171" t="s">
        <v>64</v>
      </c>
      <c r="D23" s="177" t="s">
        <v>378</v>
      </c>
      <c r="E23" s="178"/>
      <c r="F23" s="174"/>
      <c r="G23" s="175">
        <v>1</v>
      </c>
      <c r="H23" s="175"/>
      <c r="I23" s="175"/>
      <c r="J23" s="176"/>
    </row>
    <row r="24" ht="21" customHeight="1" spans="1:10" x14ac:dyDescent="0.25">
      <c r="A24" s="183">
        <v>45962</v>
      </c>
      <c r="B24" s="184" t="s">
        <v>54</v>
      </c>
      <c r="D24" s="177" t="s">
        <v>387</v>
      </c>
      <c r="E24" s="178"/>
      <c r="F24" s="174"/>
      <c r="G24" s="175"/>
      <c r="H24" s="175"/>
      <c r="I24" s="175"/>
      <c r="J24" s="176"/>
    </row>
    <row r="25" ht="21" customHeight="1" spans="1:10" x14ac:dyDescent="0.25">
      <c r="A25" s="185">
        <v>45992</v>
      </c>
      <c r="B25" s="186" t="s">
        <v>23</v>
      </c>
      <c r="D25" s="177" t="s">
        <v>388</v>
      </c>
      <c r="E25" s="178"/>
      <c r="F25" s="174"/>
      <c r="G25" s="175"/>
      <c r="H25" s="175"/>
      <c r="I25" s="175"/>
      <c r="J25" s="176"/>
    </row>
    <row r="26" ht="21" customHeight="1" spans="1:10" x14ac:dyDescent="0.25">
      <c r="B26" s="158" t="s">
        <v>389</v>
      </c>
      <c r="D26" s="172" t="s">
        <v>54</v>
      </c>
      <c r="E26" s="173">
        <v>1</v>
      </c>
      <c r="F26" s="174">
        <v>1</v>
      </c>
      <c r="G26" s="175"/>
      <c r="H26" s="175"/>
      <c r="I26" s="175"/>
      <c r="J26" s="176"/>
    </row>
    <row r="27" ht="21" customHeight="1" spans="1:10" x14ac:dyDescent="0.25">
      <c r="B27" s="171" t="s">
        <v>390</v>
      </c>
      <c r="D27" s="177" t="s">
        <v>391</v>
      </c>
      <c r="E27" s="178"/>
      <c r="F27" s="174"/>
      <c r="G27" s="175"/>
      <c r="H27" s="175"/>
      <c r="I27" s="175"/>
      <c r="J27" s="176"/>
    </row>
    <row r="28" ht="21" customHeight="1" spans="1:10" x14ac:dyDescent="0.25">
      <c r="B28" s="171" t="s">
        <v>392</v>
      </c>
      <c r="D28" s="177" t="s">
        <v>393</v>
      </c>
      <c r="E28" s="178"/>
      <c r="F28" s="174"/>
      <c r="G28" s="175"/>
      <c r="H28" s="175"/>
      <c r="I28" s="175"/>
      <c r="J28" s="176"/>
    </row>
    <row r="29" ht="21" customHeight="1" spans="1:10" x14ac:dyDescent="0.25">
      <c r="B29" s="171" t="s">
        <v>394</v>
      </c>
      <c r="D29" s="177" t="s">
        <v>395</v>
      </c>
      <c r="E29" s="178"/>
      <c r="F29" s="174"/>
      <c r="G29" s="175"/>
      <c r="H29" s="175"/>
      <c r="I29" s="175"/>
      <c r="J29" s="176"/>
    </row>
    <row r="30" ht="21" customHeight="1" spans="1:10" x14ac:dyDescent="0.25">
      <c r="B30" s="171" t="s">
        <v>396</v>
      </c>
      <c r="D30" s="177" t="s">
        <v>397</v>
      </c>
      <c r="E30" s="178"/>
      <c r="F30" s="174"/>
      <c r="G30" s="175"/>
      <c r="H30" s="175"/>
      <c r="I30" s="175"/>
      <c r="J30" s="176"/>
    </row>
    <row r="31" ht="21" customHeight="1" spans="1:10" x14ac:dyDescent="0.25">
      <c r="B31" s="171" t="s">
        <v>398</v>
      </c>
      <c r="D31" s="172" t="s">
        <v>64</v>
      </c>
      <c r="E31" s="173">
        <v>1</v>
      </c>
      <c r="F31" s="174">
        <v>1</v>
      </c>
      <c r="G31" s="175"/>
      <c r="H31" s="175">
        <v>1</v>
      </c>
      <c r="I31" s="175"/>
      <c r="J31" s="176"/>
    </row>
    <row r="32" ht="21" customHeight="1" spans="1:10" x14ac:dyDescent="0.25">
      <c r="B32" s="171" t="s">
        <v>399</v>
      </c>
      <c r="D32" s="177" t="s">
        <v>400</v>
      </c>
      <c r="E32" s="178"/>
      <c r="F32" s="174"/>
      <c r="G32" s="175"/>
      <c r="H32" s="175"/>
      <c r="I32" s="175"/>
      <c r="J32" s="176"/>
    </row>
    <row r="33" ht="21" customHeight="1" spans="1:10" x14ac:dyDescent="0.25">
      <c r="D33" s="172" t="s">
        <v>69</v>
      </c>
      <c r="E33" s="173">
        <v>1</v>
      </c>
      <c r="F33" s="174">
        <v>3</v>
      </c>
      <c r="G33" s="175"/>
      <c r="H33" s="175">
        <v>2</v>
      </c>
      <c r="I33" s="175"/>
      <c r="J33" s="176"/>
    </row>
    <row r="34" ht="21" customHeight="1" spans="1:10" x14ac:dyDescent="0.25">
      <c r="D34" s="172" t="s">
        <v>74</v>
      </c>
      <c r="E34" s="173">
        <v>1</v>
      </c>
      <c r="F34" s="174">
        <v>1</v>
      </c>
      <c r="G34" s="175"/>
      <c r="H34" s="175"/>
      <c r="I34" s="175"/>
      <c r="J34" s="176"/>
    </row>
    <row r="35" ht="21" customHeight="1" spans="1:10" x14ac:dyDescent="0.25">
      <c r="D35" s="172" t="s">
        <v>80</v>
      </c>
      <c r="E35" s="173">
        <v>1</v>
      </c>
      <c r="F35" s="174">
        <v>1</v>
      </c>
      <c r="G35" s="175"/>
      <c r="H35" s="175">
        <v>1</v>
      </c>
      <c r="I35" s="175"/>
      <c r="J35" s="176"/>
    </row>
    <row r="36" ht="21" customHeight="1" spans="1:10" x14ac:dyDescent="0.25">
      <c r="D36" s="177" t="s">
        <v>401</v>
      </c>
      <c r="E36" s="178"/>
      <c r="F36" s="174"/>
      <c r="G36" s="175"/>
      <c r="H36" s="175"/>
      <c r="I36" s="175"/>
      <c r="J36" s="176"/>
    </row>
    <row r="37" ht="21" customHeight="1" spans="1:10" x14ac:dyDescent="0.25">
      <c r="D37" s="172" t="s">
        <v>379</v>
      </c>
      <c r="E37" s="173">
        <v>1</v>
      </c>
      <c r="F37" s="174">
        <v>1</v>
      </c>
      <c r="G37" s="175"/>
      <c r="H37" s="175"/>
      <c r="I37" s="175"/>
      <c r="J37" s="176"/>
    </row>
    <row r="38" ht="21" customHeight="1" spans="1:10" x14ac:dyDescent="0.25">
      <c r="B38" s="187" t="s">
        <v>402</v>
      </c>
      <c r="D38" s="172" t="s">
        <v>403</v>
      </c>
      <c r="E38" s="173">
        <v>1</v>
      </c>
      <c r="F38" s="174">
        <v>5</v>
      </c>
      <c r="G38" s="175"/>
      <c r="H38" s="175"/>
      <c r="I38" s="175"/>
      <c r="J38" s="176"/>
    </row>
    <row r="39" ht="21" customHeight="1" spans="1:10" x14ac:dyDescent="0.25">
      <c r="B39" s="187" t="s">
        <v>404</v>
      </c>
      <c r="D39" s="172" t="s">
        <v>96</v>
      </c>
      <c r="E39" s="173">
        <v>1</v>
      </c>
      <c r="F39" s="174">
        <v>1</v>
      </c>
      <c r="G39" s="175"/>
      <c r="H39" s="175"/>
      <c r="I39" s="175"/>
      <c r="J39" s="176"/>
    </row>
    <row r="40" ht="21" customHeight="1" spans="1:10" x14ac:dyDescent="0.25">
      <c r="D40" s="172" t="s">
        <v>101</v>
      </c>
      <c r="E40" s="173">
        <v>1</v>
      </c>
      <c r="F40" s="174">
        <v>1</v>
      </c>
      <c r="G40" s="175"/>
      <c r="H40" s="175"/>
      <c r="I40" s="175"/>
      <c r="J40" s="176"/>
    </row>
    <row r="41" ht="21" customHeight="1" spans="1:10" x14ac:dyDescent="0.25">
      <c r="D41" s="172" t="s">
        <v>107</v>
      </c>
      <c r="E41" s="173">
        <v>1</v>
      </c>
      <c r="F41" s="174">
        <v>2</v>
      </c>
      <c r="G41" s="175"/>
      <c r="H41" s="175"/>
      <c r="I41" s="175"/>
      <c r="J41" s="176"/>
    </row>
    <row r="42" ht="21" customHeight="1" spans="1:10" x14ac:dyDescent="0.25">
      <c r="D42" s="177" t="s">
        <v>405</v>
      </c>
      <c r="E42" s="178"/>
      <c r="F42" s="174"/>
      <c r="G42" s="175"/>
      <c r="H42" s="175"/>
      <c r="I42" s="175"/>
      <c r="J42" s="176"/>
    </row>
    <row r="43" ht="21" customHeight="1" spans="1:10" x14ac:dyDescent="0.25">
      <c r="D43" s="172" t="s">
        <v>112</v>
      </c>
      <c r="E43" s="173">
        <v>1</v>
      </c>
      <c r="F43" s="174">
        <v>3</v>
      </c>
      <c r="G43" s="175"/>
      <c r="H43" s="175"/>
      <c r="I43" s="175"/>
      <c r="J43" s="176"/>
    </row>
    <row r="44" ht="21" customHeight="1" spans="1:10" x14ac:dyDescent="0.25">
      <c r="D44" s="177" t="s">
        <v>406</v>
      </c>
      <c r="E44" s="178"/>
      <c r="F44" s="174"/>
      <c r="G44" s="175"/>
      <c r="H44" s="175"/>
      <c r="I44" s="175"/>
      <c r="J44" s="176"/>
    </row>
    <row r="45" ht="21" customHeight="1" spans="1:10" x14ac:dyDescent="0.25">
      <c r="D45" s="177" t="s">
        <v>407</v>
      </c>
      <c r="E45" s="178"/>
      <c r="F45" s="174"/>
      <c r="G45" s="175"/>
      <c r="H45" s="175"/>
      <c r="I45" s="175"/>
      <c r="J45" s="176"/>
    </row>
    <row r="46" ht="21" customHeight="1" spans="1:10" x14ac:dyDescent="0.25">
      <c r="D46" s="177" t="s">
        <v>408</v>
      </c>
      <c r="E46" s="178"/>
      <c r="F46" s="174"/>
      <c r="G46" s="175"/>
      <c r="H46" s="175"/>
      <c r="I46" s="175"/>
      <c r="J46" s="176"/>
    </row>
    <row r="47" ht="21" customHeight="1" spans="1:10" x14ac:dyDescent="0.25">
      <c r="D47" s="172" t="s">
        <v>409</v>
      </c>
      <c r="E47" s="173">
        <v>1</v>
      </c>
      <c r="F47" s="174">
        <v>1</v>
      </c>
      <c r="G47" s="175"/>
      <c r="H47" s="175"/>
      <c r="I47" s="175"/>
      <c r="J47" s="176"/>
    </row>
    <row r="48" ht="21" customHeight="1" spans="1:10" x14ac:dyDescent="0.25">
      <c r="D48" s="172" t="s">
        <v>120</v>
      </c>
      <c r="E48" s="173">
        <v>1</v>
      </c>
      <c r="F48" s="174">
        <v>7</v>
      </c>
      <c r="G48" s="175">
        <v>1</v>
      </c>
      <c r="H48" s="175"/>
      <c r="I48" s="175"/>
      <c r="J48" s="176"/>
    </row>
    <row r="49" ht="21" customHeight="1" spans="1:10" x14ac:dyDescent="0.25">
      <c r="D49" s="177" t="s">
        <v>410</v>
      </c>
      <c r="E49" s="178"/>
      <c r="F49" s="174"/>
      <c r="G49" s="175"/>
      <c r="H49" s="175"/>
      <c r="I49" s="175"/>
      <c r="J49" s="176"/>
    </row>
    <row r="50" ht="21" customHeight="1" spans="1:10" x14ac:dyDescent="0.25">
      <c r="D50" s="172" t="s">
        <v>124</v>
      </c>
      <c r="E50" s="173">
        <v>1</v>
      </c>
      <c r="F50" s="174">
        <v>3</v>
      </c>
      <c r="G50" s="175"/>
      <c r="H50" s="175"/>
      <c r="I50" s="175"/>
      <c r="J50" s="176"/>
    </row>
    <row r="51" ht="21" customHeight="1" spans="1:10" x14ac:dyDescent="0.25">
      <c r="D51" s="172" t="s">
        <v>411</v>
      </c>
      <c r="E51" s="188">
        <v>1</v>
      </c>
      <c r="F51" s="189">
        <v>43</v>
      </c>
      <c r="G51" s="190">
        <v>13</v>
      </c>
      <c r="H51" s="190">
        <v>1</v>
      </c>
      <c r="I51" s="190"/>
      <c r="J51" s="190">
        <v>2</v>
      </c>
    </row>
    <row r="52" ht="21" customHeight="1" spans="1:10" x14ac:dyDescent="0.25">
      <c r="D52" s="191"/>
      <c r="E52" s="191"/>
      <c r="F52" s="169" t="s">
        <v>412</v>
      </c>
      <c r="G52" s="169"/>
      <c r="H52" s="169"/>
      <c r="I52" s="169"/>
      <c r="J52" s="169"/>
    </row>
    <row r="53" ht="21" customHeight="1" spans="1:10" x14ac:dyDescent="0.25">
      <c r="D53" s="191"/>
      <c r="E53" s="191"/>
      <c r="F53" s="192">
        <f>SUM(F7:F51)</f>
        <v>114</v>
      </c>
      <c r="G53" s="192">
        <f>SUM(G7:G51)</f>
        <v>16</v>
      </c>
      <c r="H53" s="192">
        <f>SUM(H7:H51)</f>
        <v>5</v>
      </c>
      <c r="I53" s="192">
        <f>SUM(I7:I51)</f>
        <v>3</v>
      </c>
      <c r="J53" s="192">
        <f>SUM(J7:J51)</f>
        <v>2</v>
      </c>
    </row>
    <row r="54" ht="24" customHeight="1" spans="1:10" x14ac:dyDescent="0.25">
      <c r="D54" s="191"/>
      <c r="E54" s="191"/>
      <c r="F54" s="169" t="s">
        <v>413</v>
      </c>
      <c r="G54" s="169"/>
      <c r="H54" s="169"/>
      <c r="I54" s="169"/>
      <c r="J54" s="169"/>
    </row>
    <row r="55" ht="21" customHeight="1" spans="1:10" x14ac:dyDescent="0.25">
      <c r="D55" s="191"/>
      <c r="E55" s="191"/>
      <c r="F55" s="192">
        <f>SUM(F53:J53)</f>
        <v>140</v>
      </c>
      <c r="G55" s="192"/>
      <c r="H55" s="192"/>
      <c r="I55" s="192"/>
      <c r="J55" s="192"/>
    </row>
    <row r="57" ht="21" customHeight="1" x14ac:dyDescent="0.25"/>
  </sheetData>
  <mergeCells count="6">
    <mergeCell ref="A4:B4"/>
    <mergeCell ref="D4:J4"/>
    <mergeCell ref="A5:B5"/>
    <mergeCell ref="F52:J52"/>
    <mergeCell ref="F54:J54"/>
    <mergeCell ref="F55:J55"/>
  </mergeCells>
  <printOptions horizontalCentered="1" verticalCentered="1"/>
  <pageMargins left="0.25" right="0.25" top="0.75" bottom="0.75" header="0.3" footer="0.3"/>
  <pageSetup paperSize="9" orientation="portrait" horizontalDpi="4294967295" verticalDpi="4294967295" scale="85" fitToWidth="1" fitToHeight="1" firstPageNumber="1" useFirstPageNumber="1" copies="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5"/>
  <sheetViews>
    <sheetView workbookViewId="0" zoomScale="100" zoomScaleNormal="100">
      <selection activeCell="J30" sqref="J30"/>
    </sheetView>
  </sheetViews>
  <sheetFormatPr defaultRowHeight="16" outlineLevelRow="0" outlineLevelCol="0" x14ac:dyDescent="0" defaultColWidth="10.83203125" customHeight="1"/>
  <cols>
    <col min="1" max="1" width="28.83203125" style="134" customWidth="1"/>
    <col min="2" max="2" width="4.83203125" style="134" customWidth="1"/>
    <col min="3" max="3" width="28.6640625" style="134" customWidth="1"/>
    <col min="4" max="4" width="4.83203125" style="134" customWidth="1"/>
    <col min="5" max="5" width="33.83203125" style="134" customWidth="1"/>
    <col min="6" max="6" width="4.83203125" style="134" customWidth="1"/>
    <col min="7" max="7" width="28.33203125" style="134" customWidth="1"/>
    <col min="8" max="8" width="4.5" style="134" customWidth="1"/>
    <col min="9" max="9" width="28.33203125" style="134" customWidth="1"/>
    <col min="10" max="10" width="4.1640625" style="134" customWidth="1"/>
    <col min="11" max="11" width="30.83203125" style="134" customWidth="1"/>
    <col min="12" max="12" width="12.5" style="134" customWidth="1"/>
    <col min="13" max="15" width="28.33203125" style="134" customWidth="1"/>
    <col min="16" max="16384" width="10.83203125" style="134" customWidth="1"/>
  </cols>
  <sheetData>
    <row r="1" ht="31" customHeight="1" spans="1:15" x14ac:dyDescent="0.25">
      <c r="A1" s="135" t="s">
        <v>348</v>
      </c>
      <c r="B1" s="135"/>
      <c r="C1" s="135"/>
      <c r="D1" s="135"/>
      <c r="E1" s="135"/>
      <c r="F1" s="135"/>
      <c r="G1" s="135"/>
      <c r="H1" s="135"/>
      <c r="I1" s="135"/>
      <c r="J1" s="135"/>
      <c r="K1" s="135"/>
      <c r="L1" s="136"/>
      <c r="M1" s="136"/>
      <c r="N1" s="136"/>
      <c r="O1" s="136"/>
    </row>
    <row r="2" ht="16" customHeight="1" spans="1:15" x14ac:dyDescent="0.25">
      <c r="A2" s="134"/>
      <c r="B2" s="134"/>
      <c r="C2" s="134"/>
      <c r="D2" s="134"/>
      <c r="E2" s="134"/>
      <c r="F2" s="134"/>
      <c r="G2" s="136"/>
      <c r="H2" s="136"/>
      <c r="I2" s="136"/>
      <c r="J2" s="136"/>
      <c r="K2" s="137" t="s">
        <v>349</v>
      </c>
      <c r="L2" s="136"/>
      <c r="M2" s="134"/>
      <c r="N2" s="136"/>
      <c r="O2" s="136"/>
    </row>
    <row r="3" ht="21" customHeight="1" spans="1:12" x14ac:dyDescent="0.25">
      <c r="A3" s="134"/>
      <c r="B3" s="134"/>
      <c r="C3" s="134"/>
      <c r="D3" s="134"/>
      <c r="E3" s="134"/>
      <c r="F3" s="134"/>
      <c r="G3" s="138" t="s">
        <v>350</v>
      </c>
      <c r="H3" s="139">
        <f>SUM(G6,I6,K6,E6,C6,A6)</f>
        <v>37</v>
      </c>
      <c r="I3" s="140"/>
      <c r="J3" s="141"/>
      <c r="K3" s="141"/>
      <c r="L3" s="142"/>
    </row>
    <row r="5" ht="24" customHeight="1" spans="1:14" x14ac:dyDescent="0.25">
      <c r="A5" s="143">
        <v>2026</v>
      </c>
      <c r="B5" s="134"/>
      <c r="C5" s="143">
        <v>2025</v>
      </c>
      <c r="D5" s="134"/>
      <c r="E5" s="143">
        <v>2024</v>
      </c>
      <c r="F5" s="134"/>
      <c r="G5" s="143">
        <v>2023</v>
      </c>
      <c r="H5" s="134"/>
      <c r="I5" s="143">
        <v>2022</v>
      </c>
      <c r="J5" s="134"/>
      <c r="K5" s="143">
        <v>2021</v>
      </c>
      <c r="L5" s="134"/>
      <c r="M5" s="134"/>
      <c r="N5" s="144"/>
    </row>
    <row r="6" ht="17.25" customHeight="1" spans="1:14" x14ac:dyDescent="0.25">
      <c r="A6" s="145">
        <f>COUNTA(A7:A14)</f>
        <v>8</v>
      </c>
      <c r="B6" s="134"/>
      <c r="C6" s="145">
        <f>COUNTA(C7:C15)</f>
        <v>9</v>
      </c>
      <c r="D6" s="134"/>
      <c r="E6" s="145">
        <f>COUNTA(E7:E12)</f>
        <v>6</v>
      </c>
      <c r="F6" s="134"/>
      <c r="G6" s="145">
        <f>COUNTA(G7:G12)</f>
        <v>4</v>
      </c>
      <c r="H6" s="146"/>
      <c r="I6" s="145">
        <f>COUNTA(I7:I13)</f>
        <v>4</v>
      </c>
      <c r="J6" s="146"/>
      <c r="K6" s="145">
        <f>COUNTA(K7:K12)</f>
        <v>6</v>
      </c>
      <c r="L6" s="134"/>
      <c r="M6" s="134"/>
      <c r="N6" s="144"/>
    </row>
    <row r="7" ht="24" customHeight="1" spans="1:14" x14ac:dyDescent="0.25">
      <c r="A7" s="147" t="s">
        <v>351</v>
      </c>
      <c r="B7" s="134"/>
      <c r="C7" s="147" t="s">
        <v>351</v>
      </c>
      <c r="D7" s="134"/>
      <c r="E7" s="147" t="s">
        <v>351</v>
      </c>
      <c r="F7" s="134"/>
      <c r="G7" s="147" t="s">
        <v>351</v>
      </c>
      <c r="H7" s="148"/>
      <c r="I7" s="147" t="s">
        <v>351</v>
      </c>
      <c r="J7" s="148"/>
      <c r="K7" s="147" t="s">
        <v>351</v>
      </c>
      <c r="L7" s="134"/>
      <c r="M7" s="134"/>
      <c r="N7" s="144"/>
    </row>
    <row r="8" ht="24" customHeight="1" spans="1:14" x14ac:dyDescent="0.25">
      <c r="A8" s="149" t="s">
        <v>352</v>
      </c>
      <c r="B8" s="134"/>
      <c r="C8" s="149" t="s">
        <v>353</v>
      </c>
      <c r="D8" s="134"/>
      <c r="E8" s="149" t="s">
        <v>354</v>
      </c>
      <c r="F8" s="134"/>
      <c r="G8" s="149" t="s">
        <v>106</v>
      </c>
      <c r="H8" s="134"/>
      <c r="I8" s="149" t="s">
        <v>116</v>
      </c>
      <c r="J8" s="134"/>
      <c r="K8" s="149" t="s">
        <v>128</v>
      </c>
      <c r="L8" s="134"/>
      <c r="M8" s="134"/>
      <c r="N8" s="144"/>
    </row>
    <row r="9" ht="24" customHeight="1" spans="1:14" x14ac:dyDescent="0.25">
      <c r="A9" s="150" t="s">
        <v>355</v>
      </c>
      <c r="B9" s="134"/>
      <c r="C9" s="150" t="s">
        <v>355</v>
      </c>
      <c r="D9" s="134"/>
      <c r="E9" s="150" t="s">
        <v>355</v>
      </c>
      <c r="F9" s="134"/>
      <c r="G9" s="150" t="s">
        <v>355</v>
      </c>
      <c r="H9" s="134"/>
      <c r="I9" s="150" t="s">
        <v>355</v>
      </c>
      <c r="J9" s="134"/>
      <c r="K9" s="150" t="s">
        <v>355</v>
      </c>
      <c r="L9" s="134"/>
      <c r="M9" s="134"/>
      <c r="N9" s="144"/>
    </row>
    <row r="10" ht="24" customHeight="1" spans="1:14" x14ac:dyDescent="0.25">
      <c r="A10" s="151" t="s">
        <v>356</v>
      </c>
      <c r="B10" s="134"/>
      <c r="C10" s="151" t="s">
        <v>356</v>
      </c>
      <c r="D10" s="134"/>
      <c r="E10" s="151" t="s">
        <v>356</v>
      </c>
      <c r="F10" s="134"/>
      <c r="G10" s="151" t="s">
        <v>357</v>
      </c>
      <c r="H10" s="134"/>
      <c r="I10" s="152" t="s">
        <v>358</v>
      </c>
      <c r="J10" s="134"/>
      <c r="K10" s="153" t="s">
        <v>359</v>
      </c>
      <c r="L10" s="134"/>
      <c r="M10" s="134"/>
      <c r="N10" s="154"/>
    </row>
    <row r="11" ht="24" customHeight="1" spans="1:14" x14ac:dyDescent="0.25">
      <c r="A11" s="155" t="s">
        <v>22</v>
      </c>
      <c r="B11" s="134"/>
      <c r="C11" s="155" t="s">
        <v>22</v>
      </c>
      <c r="D11" s="134"/>
      <c r="E11" s="155" t="s">
        <v>22</v>
      </c>
      <c r="F11" s="134"/>
      <c r="G11" s="153"/>
      <c r="H11" s="134"/>
      <c r="I11" s="153"/>
      <c r="J11" s="134"/>
      <c r="K11" s="153" t="s">
        <v>360</v>
      </c>
      <c r="L11" s="134"/>
      <c r="M11" s="134"/>
      <c r="N11" s="154"/>
    </row>
    <row r="12" ht="24" customHeight="1" spans="1:14" x14ac:dyDescent="0.25">
      <c r="A12" s="156" t="s">
        <v>361</v>
      </c>
      <c r="B12" s="134"/>
      <c r="C12" s="152" t="s">
        <v>358</v>
      </c>
      <c r="D12" s="134"/>
      <c r="E12" s="153" t="s">
        <v>362</v>
      </c>
      <c r="F12" s="134"/>
      <c r="G12" s="153"/>
      <c r="H12" s="134"/>
      <c r="I12" s="153"/>
      <c r="J12" s="134"/>
      <c r="K12" s="153" t="s">
        <v>363</v>
      </c>
      <c r="L12" s="134"/>
      <c r="M12" s="134"/>
      <c r="N12" s="154"/>
    </row>
    <row r="13" ht="24" customHeight="1" spans="1:14" x14ac:dyDescent="0.25">
      <c r="A13" s="153" t="s">
        <v>364</v>
      </c>
      <c r="B13" s="134"/>
      <c r="C13" s="156" t="s">
        <v>361</v>
      </c>
      <c r="D13" s="134"/>
      <c r="E13" s="153"/>
      <c r="F13" s="134"/>
      <c r="G13" s="153"/>
      <c r="H13" s="134"/>
      <c r="I13" s="153"/>
      <c r="J13" s="134"/>
      <c r="K13" s="153"/>
      <c r="L13" s="134"/>
      <c r="M13" s="134"/>
      <c r="N13" s="154"/>
    </row>
    <row r="14" ht="24" customHeight="1" spans="1:11" x14ac:dyDescent="0.25">
      <c r="A14" s="153" t="s">
        <v>365</v>
      </c>
      <c r="B14" s="134"/>
      <c r="C14" s="153" t="s">
        <v>366</v>
      </c>
      <c r="D14" s="134"/>
      <c r="E14" s="153"/>
      <c r="F14" s="134"/>
      <c r="G14" s="153"/>
      <c r="H14" s="134"/>
      <c r="I14" s="153"/>
      <c r="J14" s="134"/>
      <c r="K14" s="153"/>
    </row>
    <row r="15" ht="24" customHeight="1" spans="1:7" x14ac:dyDescent="0.25">
      <c r="A15" s="134"/>
      <c r="B15" s="134"/>
      <c r="C15" s="153" t="s">
        <v>58</v>
      </c>
      <c r="D15" s="134"/>
      <c r="E15" s="134"/>
      <c r="F15" s="134"/>
      <c r="G15" s="144"/>
    </row>
  </sheetData>
  <mergeCells count="1">
    <mergeCell ref="A1:K1"/>
  </mergeCells>
  <pageMargins left="0.7" right="0.7" top="0.75" bottom="0.75" header="0.3" footer="0.3"/>
  <pageSetup paperSize="9" orientation="landscape" horizontalDpi="4294967295" verticalDpi="4294967295" scale="61"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
  <sheetViews>
    <sheetView workbookViewId="0" zoomScale="70" zoomScaleNormal="70">
      <selection activeCell="F13" sqref="F13"/>
    </sheetView>
  </sheetViews>
  <sheetFormatPr defaultRowHeight="16" outlineLevelRow="0" outlineLevelCol="0" x14ac:dyDescent="0" defaultColWidth="10.83203125" customHeight="1"/>
  <cols>
    <col min="1" max="1" width="15.33203125" style="54" customWidth="1"/>
    <col min="2" max="2" width="18.6640625" style="55" customWidth="1"/>
    <col min="3" max="3" width="45" style="54" customWidth="1"/>
    <col min="4" max="4" width="63.1640625" style="54" customWidth="1"/>
    <col min="5" max="5" width="33.33203125" style="54" customWidth="1"/>
    <col min="6" max="6" width="40.83203125" style="54" customWidth="1"/>
    <col min="7" max="8" width="43.1640625" style="54" customWidth="1"/>
    <col min="9" max="9" width="43.83203125" style="54" customWidth="1"/>
    <col min="10" max="10" width="41.6640625" style="54" customWidth="1"/>
    <col min="11" max="12" width="38.5" style="54" customWidth="1"/>
    <col min="13" max="13" width="10.83203125" style="54" customWidth="1"/>
    <col min="14" max="14" width="29.83203125" style="54" customWidth="1"/>
    <col min="15" max="16384" width="10.83203125" style="54" customWidth="1"/>
  </cols>
  <sheetData>
    <row r="1" ht="117" customHeight="1" spans="1:15" x14ac:dyDescent="0.25">
      <c r="A1" s="56"/>
      <c r="B1" s="57" t="s">
        <v>196</v>
      </c>
      <c r="C1" s="57"/>
      <c r="D1" s="57"/>
      <c r="E1" s="57"/>
      <c r="F1" s="57"/>
      <c r="G1" s="57"/>
      <c r="H1" s="57"/>
      <c r="I1" s="57"/>
      <c r="J1" s="57"/>
      <c r="K1" s="58"/>
      <c r="L1" s="58"/>
      <c r="M1" s="54"/>
      <c r="N1" s="59"/>
      <c r="O1" s="59"/>
    </row>
    <row r="2" ht="21" customHeight="1" spans="1:14" x14ac:dyDescent="0.25">
      <c r="A2" s="60">
        <f>COUNTA(A4:A117)</f>
        <v>114</v>
      </c>
      <c r="B2" s="60">
        <f t="shared" ref="B2:L2" si="0">COUNTA(B4:B117)</f>
        <v>114</v>
      </c>
      <c r="C2" s="60">
        <f t="shared" si="0"/>
        <v>114</v>
      </c>
      <c r="D2" s="60">
        <f t="shared" si="0"/>
        <v>114</v>
      </c>
      <c r="E2" s="60">
        <f t="shared" si="0"/>
        <v>114</v>
      </c>
      <c r="F2" s="60">
        <f t="shared" si="0"/>
        <v>114</v>
      </c>
      <c r="G2" s="60">
        <f t="shared" si="0"/>
        <v>114</v>
      </c>
      <c r="H2" s="60">
        <f t="shared" si="0"/>
        <v>52</v>
      </c>
      <c r="I2" s="60">
        <f t="shared" si="0"/>
        <v>114</v>
      </c>
      <c r="J2" s="60">
        <f t="shared" si="0"/>
        <v>45</v>
      </c>
      <c r="K2" s="60">
        <f t="shared" si="0"/>
        <v>5</v>
      </c>
      <c r="L2" s="60">
        <f t="shared" si="0"/>
        <v>21</v>
      </c>
      <c r="M2" s="54"/>
      <c r="N2" s="61" t="s">
        <v>197</v>
      </c>
    </row>
    <row r="3" ht="47" customHeight="1" spans="1:12" s="62" customFormat="1" x14ac:dyDescent="0.25">
      <c r="A3" s="63" t="s">
        <v>198</v>
      </c>
      <c r="B3" s="64" t="s">
        <v>199</v>
      </c>
      <c r="C3" s="60" t="s">
        <v>200</v>
      </c>
      <c r="D3" s="60" t="s">
        <v>201</v>
      </c>
      <c r="E3" s="60" t="s">
        <v>202</v>
      </c>
      <c r="F3" s="60" t="s">
        <v>203</v>
      </c>
      <c r="G3" s="60" t="s">
        <v>204</v>
      </c>
      <c r="H3" s="60" t="s">
        <v>205</v>
      </c>
      <c r="I3" s="60" t="s">
        <v>206</v>
      </c>
      <c r="J3" s="60" t="s">
        <v>207</v>
      </c>
      <c r="K3" s="60" t="s">
        <v>208</v>
      </c>
      <c r="L3" s="60" t="s">
        <v>209</v>
      </c>
    </row>
  </sheetData>
  <mergeCells count="1">
    <mergeCell ref="B1:J1"/>
  </mergeCells>
  <pageMargins left="0.25" right="0.25" top="0.75" bottom="0.75" header="0.3" footer="0.3"/>
  <pageSetup paperSize="9" orientation="portrait" horizontalDpi="4294967295" verticalDpi="4294967295" scale="13" fitToWidth="1" fitToHeight="2" firstPageNumber="1" useFirstPageNumber="1" copies="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zoomScale="70" zoomScaleNormal="70">
      <selection activeCell="I12" sqref="I12"/>
    </sheetView>
  </sheetViews>
  <sheetFormatPr defaultRowHeight="19" outlineLevelRow="0" outlineLevelCol="0" x14ac:dyDescent="0" defaultColWidth="11" customHeight="1"/>
  <cols>
    <col min="2" max="10" width="23" style="65" customWidth="1"/>
    <col min="11" max="11" width="24.5" style="65" customWidth="1"/>
    <col min="12" max="13" width="23" style="65" customWidth="1"/>
  </cols>
  <sheetData>
    <row r="1" ht="161" customHeight="1" spans="1:13" x14ac:dyDescent="0.25">
      <c r="A1" s="66" t="s">
        <v>210</v>
      </c>
      <c r="B1" s="66"/>
      <c r="C1" s="66"/>
      <c r="D1" s="66"/>
      <c r="E1" s="66"/>
      <c r="F1" s="66"/>
      <c r="G1" s="66"/>
      <c r="H1" s="66"/>
      <c r="I1" s="66"/>
      <c r="J1" s="66"/>
      <c r="K1" s="66"/>
      <c r="L1" s="66"/>
      <c r="M1" s="66"/>
    </row>
    <row r="2" ht="92" customHeight="1" spans="1:14" x14ac:dyDescent="0.25">
      <c r="A2" s="67">
        <f>COUNTA(B2:M2)</f>
        <v>12</v>
      </c>
      <c r="B2" s="68" t="s">
        <v>211</v>
      </c>
      <c r="C2" s="69" t="s">
        <v>212</v>
      </c>
      <c r="D2" s="69" t="s">
        <v>213</v>
      </c>
      <c r="E2" s="68" t="s">
        <v>214</v>
      </c>
      <c r="F2" s="69" t="s">
        <v>215</v>
      </c>
      <c r="G2" s="68" t="s">
        <v>216</v>
      </c>
      <c r="H2" s="68" t="s">
        <v>217</v>
      </c>
      <c r="I2" s="68" t="s">
        <v>218</v>
      </c>
      <c r="J2" s="69" t="s">
        <v>219</v>
      </c>
      <c r="K2" s="68" t="s">
        <v>220</v>
      </c>
      <c r="L2" s="70" t="s">
        <v>221</v>
      </c>
      <c r="M2" s="68" t="s">
        <v>222</v>
      </c>
      <c r="N2" s="71">
        <v>46266</v>
      </c>
    </row>
    <row r="3" ht="41" customHeight="1" spans="1:14" s="72" customFormat="1" x14ac:dyDescent="0.25">
      <c r="A3" s="72"/>
      <c r="B3" s="73">
        <f>COUNTA(B4:B38)</f>
        <v>20</v>
      </c>
      <c r="C3" s="73">
        <f>COUNTA(C4:C38)</f>
        <v>6</v>
      </c>
      <c r="D3" s="73">
        <f>COUNTA(D4:D8)</f>
        <v>5</v>
      </c>
      <c r="E3" s="73">
        <f>COUNTA(E4:E15)</f>
        <v>9</v>
      </c>
      <c r="F3" s="73">
        <f>COUNTA(F4:F38)</f>
        <v>6</v>
      </c>
      <c r="G3" s="73">
        <f>COUNTA(G4:G38)</f>
        <v>15</v>
      </c>
      <c r="H3" s="73">
        <f t="shared" ref="H3:L3" si="0">COUNTA(H4:H38)</f>
        <v>13</v>
      </c>
      <c r="I3" s="73">
        <f>COUNTA(I4:I38)</f>
        <v>8</v>
      </c>
      <c r="J3" s="73">
        <f>COUNTA(J4:J13)</f>
        <v>5</v>
      </c>
      <c r="K3" s="73">
        <f>COUNTA(K4:K17)</f>
        <v>14</v>
      </c>
      <c r="L3" s="73">
        <f t="shared" si="0"/>
        <v>3</v>
      </c>
      <c r="M3" s="73">
        <f>COUNTA(M4:M19)</f>
        <v>10</v>
      </c>
      <c r="N3" s="74">
        <f>SUM(B3:M3)</f>
        <v>114</v>
      </c>
    </row>
  </sheetData>
  <mergeCells count="1">
    <mergeCell ref="A1:M1"/>
  </mergeCells>
  <pageMargins left="0" right="0" top="0.25" bottom="0.25" header="0.3" footer="0.3"/>
  <pageSetup paperSize="9" orientation="landscape" horizontalDpi="4294967295" verticalDpi="4294967295" scale="36" fitToWidth="1" fitToHeight="1" firstPageNumber="1" useFirstPageNumber="1" copies="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3"/>
  <sheetViews>
    <sheetView workbookViewId="0" zoomScale="90" zoomScaleNormal="90">
      <selection activeCell="D8" sqref="D8"/>
    </sheetView>
  </sheetViews>
  <sheetFormatPr defaultRowHeight="16" outlineLevelRow="0" outlineLevelCol="0" x14ac:dyDescent="0" defaultColWidth="11" customHeight="1"/>
  <cols>
    <col min="1" max="14" width="20.5" customWidth="1"/>
    <col min="15" max="15" width="12" customWidth="1"/>
    <col min="17" max="17" width="13.5" customWidth="1"/>
    <col min="18" max="18" width="28.83203125" customWidth="1"/>
    <col min="19" max="19" width="35.33203125" customWidth="1"/>
  </cols>
  <sheetData>
    <row r="1" ht="102" customHeight="1" spans="1:15" x14ac:dyDescent="0.25">
      <c r="A1" s="317" t="s">
        <v>863</v>
      </c>
      <c r="B1" s="317"/>
      <c r="C1" s="317"/>
      <c r="D1" s="317"/>
      <c r="E1" s="317"/>
      <c r="F1" s="317"/>
      <c r="G1" s="317"/>
      <c r="H1" s="317"/>
      <c r="I1" s="317"/>
      <c r="J1" s="317"/>
      <c r="K1" s="317"/>
      <c r="L1" s="317"/>
      <c r="M1" s="317"/>
      <c r="N1" s="317"/>
      <c r="O1" s="265"/>
    </row>
    <row r="2" ht="30" customHeight="1" spans="1:15" x14ac:dyDescent="0.25">
      <c r="L2" s="318" t="s">
        <v>864</v>
      </c>
      <c r="M2" s="319"/>
      <c r="N2" s="320">
        <f>COUNTA(A5:N9)</f>
        <v>39</v>
      </c>
      <c r="O2" s="265"/>
    </row>
    <row r="3" ht="64" customHeight="1" spans="1:18" s="197" customFormat="1" x14ac:dyDescent="0.25">
      <c r="A3" s="321" t="s">
        <v>865</v>
      </c>
      <c r="B3" s="322" t="s">
        <v>676</v>
      </c>
      <c r="C3" s="322" t="s">
        <v>677</v>
      </c>
      <c r="D3" s="322" t="s">
        <v>681</v>
      </c>
      <c r="E3" s="322" t="s">
        <v>682</v>
      </c>
      <c r="F3" s="322" t="s">
        <v>684</v>
      </c>
      <c r="G3" s="322" t="s">
        <v>685</v>
      </c>
      <c r="H3" s="322" t="s">
        <v>687</v>
      </c>
      <c r="I3" s="322" t="s">
        <v>680</v>
      </c>
      <c r="J3" s="322" t="s">
        <v>683</v>
      </c>
      <c r="K3" s="322" t="s">
        <v>678</v>
      </c>
      <c r="L3" s="322" t="s">
        <v>866</v>
      </c>
      <c r="M3" s="322" t="s">
        <v>372</v>
      </c>
      <c r="N3" s="323" t="s">
        <v>371</v>
      </c>
      <c r="O3" s="197"/>
      <c r="P3" s="324"/>
      <c r="Q3" s="90"/>
      <c r="R3" s="90"/>
    </row>
    <row r="4" ht="24" customHeight="1" spans="1:18" s="65" customFormat="1" x14ac:dyDescent="0.25">
      <c r="A4" s="325">
        <f>COUNTA(A5:A9)</f>
        <v>3</v>
      </c>
      <c r="B4" s="325">
        <f t="shared" ref="B4:N4" si="0">COUNTA(B5:B9)</f>
        <v>2</v>
      </c>
      <c r="C4" s="325">
        <f t="shared" si="0"/>
        <v>3</v>
      </c>
      <c r="D4" s="325">
        <f t="shared" si="0"/>
        <v>3</v>
      </c>
      <c r="E4" s="325">
        <f t="shared" si="0"/>
        <v>3</v>
      </c>
      <c r="F4" s="325">
        <f t="shared" si="0"/>
        <v>5</v>
      </c>
      <c r="G4" s="325">
        <f t="shared" si="0"/>
        <v>1</v>
      </c>
      <c r="H4" s="325">
        <f t="shared" si="0"/>
        <v>3</v>
      </c>
      <c r="I4" s="325">
        <f>COUNTA(I5:I8)</f>
        <v>4</v>
      </c>
      <c r="J4" s="325">
        <f t="shared" si="0"/>
        <v>1</v>
      </c>
      <c r="K4" s="325">
        <f t="shared" si="0"/>
        <v>2</v>
      </c>
      <c r="L4" s="325">
        <f t="shared" si="0"/>
        <v>2</v>
      </c>
      <c r="M4" s="325">
        <f t="shared" si="0"/>
        <v>2</v>
      </c>
      <c r="N4" s="325">
        <f t="shared" si="0"/>
        <v>5</v>
      </c>
      <c r="O4" s="326"/>
      <c r="P4" s="327"/>
      <c r="Q4" s="265"/>
      <c r="R4" s="265"/>
    </row>
    <row r="5" ht="101" customHeight="1" spans="1:18" s="65" customFormat="1" x14ac:dyDescent="0.25">
      <c r="A5" s="328" t="s">
        <v>867</v>
      </c>
      <c r="B5" s="329" t="s">
        <v>868</v>
      </c>
      <c r="C5" s="329" t="s">
        <v>869</v>
      </c>
      <c r="D5" s="329" t="s">
        <v>870</v>
      </c>
      <c r="E5" s="329" t="s">
        <v>871</v>
      </c>
      <c r="F5" s="329" t="s">
        <v>872</v>
      </c>
      <c r="G5" s="329" t="s">
        <v>873</v>
      </c>
      <c r="H5" s="330" t="s">
        <v>874</v>
      </c>
      <c r="I5" s="331" t="s">
        <v>875</v>
      </c>
      <c r="J5" s="332" t="s">
        <v>876</v>
      </c>
      <c r="K5" s="331" t="s">
        <v>877</v>
      </c>
      <c r="L5" s="333" t="s">
        <v>878</v>
      </c>
      <c r="M5" s="333" t="s">
        <v>879</v>
      </c>
      <c r="N5" s="329" t="s">
        <v>880</v>
      </c>
      <c r="O5" s="265"/>
      <c r="P5" s="265"/>
      <c r="Q5" s="265"/>
      <c r="R5" s="265"/>
    </row>
    <row r="6" ht="101" customHeight="1" spans="1:18" s="65" customFormat="1" x14ac:dyDescent="0.25">
      <c r="A6" s="334" t="s">
        <v>881</v>
      </c>
      <c r="B6" s="335" t="s">
        <v>882</v>
      </c>
      <c r="C6" s="331" t="s">
        <v>883</v>
      </c>
      <c r="D6" s="332" t="s">
        <v>884</v>
      </c>
      <c r="E6" s="329" t="s">
        <v>885</v>
      </c>
      <c r="F6" s="335" t="s">
        <v>886</v>
      </c>
      <c r="G6" s="336"/>
      <c r="H6" s="330" t="s">
        <v>887</v>
      </c>
      <c r="I6" s="331" t="s">
        <v>888</v>
      </c>
      <c r="J6" s="337"/>
      <c r="K6" s="338" t="s">
        <v>889</v>
      </c>
      <c r="L6" s="333" t="s">
        <v>890</v>
      </c>
      <c r="M6" s="329" t="s">
        <v>891</v>
      </c>
      <c r="N6" s="329" t="s">
        <v>892</v>
      </c>
      <c r="O6" s="265"/>
      <c r="P6" s="265"/>
      <c r="Q6" s="265"/>
      <c r="R6" s="265"/>
    </row>
    <row r="7" ht="101" customHeight="1" spans="1:18" s="65" customFormat="1" x14ac:dyDescent="0.25">
      <c r="A7" s="339" t="s">
        <v>893</v>
      </c>
      <c r="B7" s="336"/>
      <c r="C7" s="340" t="s">
        <v>894</v>
      </c>
      <c r="D7" s="335" t="s">
        <v>895</v>
      </c>
      <c r="E7" s="332" t="s">
        <v>896</v>
      </c>
      <c r="F7" s="341" t="s">
        <v>897</v>
      </c>
      <c r="G7" s="336"/>
      <c r="H7" s="330" t="s">
        <v>898</v>
      </c>
      <c r="I7" s="331" t="s">
        <v>899</v>
      </c>
      <c r="J7" s="337"/>
      <c r="K7" s="336"/>
      <c r="L7" s="342"/>
      <c r="M7" s="343"/>
      <c r="N7" s="329" t="s">
        <v>900</v>
      </c>
      <c r="O7" s="265"/>
      <c r="P7" s="265"/>
      <c r="Q7" s="265"/>
      <c r="R7" s="265"/>
    </row>
    <row r="8" ht="101" customHeight="1" spans="1:18" s="65" customFormat="1" x14ac:dyDescent="0.25">
      <c r="A8" s="344"/>
      <c r="B8" s="337"/>
      <c r="C8" s="337"/>
      <c r="D8" s="337"/>
      <c r="E8" s="337"/>
      <c r="F8" s="341" t="s">
        <v>901</v>
      </c>
      <c r="G8" s="337"/>
      <c r="H8" s="337"/>
      <c r="I8" s="345" t="s">
        <v>902</v>
      </c>
      <c r="J8" s="337"/>
      <c r="K8" s="337"/>
      <c r="L8" s="346"/>
      <c r="M8" s="346"/>
      <c r="N8" s="329" t="s">
        <v>903</v>
      </c>
      <c r="O8" s="265"/>
      <c r="P8" s="265"/>
      <c r="Q8" s="265"/>
      <c r="R8" s="265"/>
    </row>
    <row r="9" ht="101" customHeight="1" spans="1:18" s="65" customFormat="1" x14ac:dyDescent="0.25">
      <c r="A9" s="347"/>
      <c r="B9" s="348"/>
      <c r="C9" s="348"/>
      <c r="D9" s="348"/>
      <c r="E9" s="348"/>
      <c r="F9" s="340" t="s">
        <v>904</v>
      </c>
      <c r="G9" s="348"/>
      <c r="H9" s="348"/>
      <c r="I9" s="348"/>
      <c r="J9" s="348"/>
      <c r="K9" s="348"/>
      <c r="L9" s="349"/>
      <c r="M9" s="349"/>
      <c r="N9" s="350" t="s">
        <v>905</v>
      </c>
      <c r="O9" s="265"/>
      <c r="P9" s="265"/>
      <c r="Q9" s="265"/>
      <c r="R9" s="265"/>
    </row>
    <row r="10" ht="17" customHeight="1" spans="1:14" x14ac:dyDescent="0.25">
      <c r="A10" s="351"/>
      <c r="B10" s="351"/>
      <c r="C10" s="351"/>
      <c r="D10" s="351"/>
      <c r="E10" s="351"/>
      <c r="F10" s="351"/>
      <c r="G10" s="351"/>
      <c r="H10" s="352"/>
      <c r="I10" s="353"/>
      <c r="K10" s="351"/>
      <c r="L10" s="351"/>
      <c r="N10" s="351"/>
    </row>
    <row r="11" ht="26" customHeight="1" spans="1:7" x14ac:dyDescent="0.25">
      <c r="A11" s="354">
        <v>2023</v>
      </c>
      <c r="B11" s="355">
        <v>2022</v>
      </c>
      <c r="C11" s="356">
        <v>2021</v>
      </c>
      <c r="F11" s="357" t="s">
        <v>906</v>
      </c>
      <c r="G11" s="358">
        <v>37</v>
      </c>
    </row>
    <row r="12" ht="19" customHeight="1" spans="1:10" x14ac:dyDescent="0.25">
      <c r="A12" s="359">
        <v>2024</v>
      </c>
      <c r="B12" s="360">
        <v>2025</v>
      </c>
      <c r="C12" s="361">
        <v>2026</v>
      </c>
      <c r="F12" s="362" t="s">
        <v>907</v>
      </c>
      <c r="G12" s="363">
        <v>9</v>
      </c>
      <c r="H12" s="197" t="s">
        <v>908</v>
      </c>
      <c r="I12" s="364" t="s">
        <v>909</v>
      </c>
      <c r="J12" s="364"/>
    </row>
    <row r="13" ht="19" customHeight="1" spans="1:10" x14ac:dyDescent="0.25">
      <c r="A13" s="327"/>
      <c r="F13" s="362" t="s">
        <v>910</v>
      </c>
      <c r="G13" s="365">
        <v>9</v>
      </c>
      <c r="H13" s="197" t="s">
        <v>911</v>
      </c>
      <c r="I13" s="364"/>
      <c r="J13" s="364"/>
    </row>
    <row r="14" ht="19" customHeight="1" spans="1:10" x14ac:dyDescent="0.25">
      <c r="A14" s="327"/>
      <c r="F14" s="362" t="s">
        <v>912</v>
      </c>
      <c r="G14" s="366">
        <v>7</v>
      </c>
      <c r="I14" s="364" t="s">
        <v>913</v>
      </c>
      <c r="J14" s="364"/>
    </row>
    <row r="15" ht="20" customHeight="1" spans="1:19" s="367" customFormat="1" x14ac:dyDescent="0.25">
      <c r="A15" s="368"/>
      <c r="B15" s="367"/>
      <c r="C15" s="367"/>
      <c r="D15" s="367"/>
      <c r="E15" s="367"/>
      <c r="F15" s="362" t="s">
        <v>914</v>
      </c>
      <c r="G15" s="369">
        <v>2</v>
      </c>
      <c r="H15" s="367"/>
      <c r="I15" s="364"/>
      <c r="J15" s="364"/>
      <c r="K15" s="367"/>
      <c r="L15" s="367"/>
      <c r="M15" s="367"/>
      <c r="N15" s="367"/>
      <c r="O15" s="367"/>
      <c r="P15" s="367"/>
      <c r="Q15" s="367"/>
      <c r="R15" s="370"/>
      <c r="S15" s="370"/>
    </row>
    <row r="16" ht="20" customHeight="1" spans="1:19" s="367" customFormat="1" x14ac:dyDescent="0.25">
      <c r="A16" s="368"/>
      <c r="B16" s="367"/>
      <c r="C16" s="367"/>
      <c r="D16" s="367"/>
      <c r="E16" s="367"/>
      <c r="F16" s="362" t="s">
        <v>915</v>
      </c>
      <c r="G16" s="371">
        <v>2</v>
      </c>
      <c r="H16" s="367"/>
      <c r="I16" s="367"/>
      <c r="J16" s="367"/>
      <c r="K16" s="367"/>
      <c r="L16" s="367"/>
      <c r="M16" s="367"/>
      <c r="N16" s="367"/>
      <c r="O16" s="367"/>
      <c r="P16" s="367"/>
      <c r="Q16" s="367"/>
      <c r="R16" s="370"/>
      <c r="S16" s="370"/>
    </row>
    <row r="17" ht="16" customHeight="1" spans="1:19" s="367" customFormat="1" x14ac:dyDescent="0.25">
      <c r="A17" s="368"/>
      <c r="B17" s="367"/>
      <c r="C17" s="367"/>
      <c r="D17" s="367"/>
      <c r="E17" s="367"/>
      <c r="F17" s="362" t="s">
        <v>916</v>
      </c>
      <c r="G17" s="372">
        <v>2</v>
      </c>
      <c r="H17" s="373" t="s">
        <v>917</v>
      </c>
      <c r="I17" s="374"/>
      <c r="J17" s="374"/>
      <c r="K17" s="374"/>
      <c r="L17" s="367"/>
      <c r="M17" s="367"/>
      <c r="N17" s="367"/>
      <c r="O17" s="367"/>
      <c r="P17" s="367"/>
      <c r="Q17" s="367"/>
      <c r="R17" s="375"/>
      <c r="S17" s="375"/>
    </row>
    <row r="18" ht="17" customHeight="1" spans="1:8" x14ac:dyDescent="0.25">
      <c r="F18" s="362" t="s">
        <v>918</v>
      </c>
      <c r="G18" s="376">
        <v>3</v>
      </c>
      <c r="H18" s="368" t="s">
        <v>919</v>
      </c>
    </row>
    <row r="19" ht="20" customHeight="1" spans="1:8" s="351" customFormat="1" x14ac:dyDescent="0.25">
      <c r="A19" s="351"/>
      <c r="B19" s="351"/>
      <c r="C19" s="351"/>
      <c r="D19" s="351"/>
      <c r="E19" s="351"/>
      <c r="F19" s="362" t="s">
        <v>920</v>
      </c>
      <c r="G19" s="377">
        <v>2</v>
      </c>
      <c r="H19" s="197"/>
    </row>
    <row r="20" ht="39" customHeight="1" spans="1:7" s="351" customFormat="1" x14ac:dyDescent="0.25">
      <c r="A20" s="351"/>
      <c r="B20" s="351"/>
      <c r="C20" s="351"/>
      <c r="D20" s="351"/>
      <c r="E20" s="351"/>
      <c r="F20" s="378" t="s">
        <v>921</v>
      </c>
      <c r="G20" s="379">
        <v>37</v>
      </c>
    </row>
    <row r="21" ht="23" customHeight="1" spans="1:16" x14ac:dyDescent="0.25">
      <c r="L21" s="380" t="s">
        <v>922</v>
      </c>
      <c r="M21" s="381"/>
      <c r="N21" s="381"/>
      <c r="O21" s="381"/>
      <c r="P21" s="382"/>
    </row>
    <row r="22" ht="20" customHeight="1" spans="1:16" x14ac:dyDescent="0.25">
      <c r="L22" s="383"/>
      <c r="M22" s="384"/>
      <c r="N22" s="384"/>
      <c r="O22" s="384"/>
      <c r="P22" s="385"/>
    </row>
    <row r="23" ht="85" customHeight="1" spans="1:16" s="351" customFormat="1" x14ac:dyDescent="0.25">
      <c r="A23" s="386" t="s">
        <v>679</v>
      </c>
      <c r="B23" s="386" t="s">
        <v>676</v>
      </c>
      <c r="C23" s="386" t="s">
        <v>677</v>
      </c>
      <c r="D23" s="386" t="s">
        <v>681</v>
      </c>
      <c r="E23" s="386" t="s">
        <v>682</v>
      </c>
      <c r="F23" s="386" t="s">
        <v>684</v>
      </c>
      <c r="G23" s="386" t="s">
        <v>685</v>
      </c>
      <c r="H23" s="351"/>
      <c r="I23" s="387" t="s">
        <v>923</v>
      </c>
      <c r="J23" s="387" t="s">
        <v>924</v>
      </c>
      <c r="K23" s="351"/>
      <c r="L23" s="388" t="s">
        <v>687</v>
      </c>
      <c r="M23" s="387" t="s">
        <v>680</v>
      </c>
      <c r="N23" s="387" t="s">
        <v>683</v>
      </c>
      <c r="O23" s="387" t="s">
        <v>678</v>
      </c>
      <c r="P23" s="389" t="s">
        <v>686</v>
      </c>
    </row>
    <row r="24" ht="49" customHeight="1" spans="1:16" s="351" customFormat="1" x14ac:dyDescent="0.25">
      <c r="A24" s="390" t="s">
        <v>925</v>
      </c>
      <c r="B24" s="390" t="s">
        <v>926</v>
      </c>
      <c r="C24" s="390" t="s">
        <v>927</v>
      </c>
      <c r="D24" s="390" t="s">
        <v>928</v>
      </c>
      <c r="E24" s="390" t="s">
        <v>929</v>
      </c>
      <c r="F24" s="390" t="s">
        <v>930</v>
      </c>
      <c r="G24" s="390" t="s">
        <v>931</v>
      </c>
      <c r="H24" s="352"/>
      <c r="I24" s="390" t="s">
        <v>843</v>
      </c>
      <c r="J24" s="390" t="s">
        <v>932</v>
      </c>
      <c r="K24" s="351"/>
      <c r="L24" s="391" t="s">
        <v>933</v>
      </c>
      <c r="M24" s="392" t="s">
        <v>934</v>
      </c>
      <c r="N24" s="393" t="s">
        <v>935</v>
      </c>
      <c r="O24" s="392" t="s">
        <v>936</v>
      </c>
      <c r="P24" s="394" t="s">
        <v>937</v>
      </c>
    </row>
    <row r="25" ht="17" customHeight="1" spans="1:16" s="351" customFormat="1" x14ac:dyDescent="0.25">
      <c r="A25" s="390"/>
      <c r="B25" s="390"/>
      <c r="C25" s="390"/>
      <c r="D25" s="390"/>
      <c r="E25" s="390" t="s">
        <v>840</v>
      </c>
      <c r="F25" s="390"/>
      <c r="G25" s="390"/>
      <c r="H25" s="352"/>
      <c r="I25" s="390" t="s">
        <v>938</v>
      </c>
      <c r="J25" s="395" t="s">
        <v>939</v>
      </c>
      <c r="K25" s="351"/>
      <c r="L25" s="396" t="s">
        <v>940</v>
      </c>
      <c r="M25" s="392" t="s">
        <v>941</v>
      </c>
      <c r="N25" s="393" t="s">
        <v>942</v>
      </c>
      <c r="O25" s="397"/>
      <c r="P25" s="398"/>
    </row>
    <row r="26" ht="17" customHeight="1" spans="1:16" s="351" customFormat="1" x14ac:dyDescent="0.25">
      <c r="A26" s="397"/>
      <c r="B26" s="397"/>
      <c r="C26" s="397"/>
      <c r="D26" s="397"/>
      <c r="E26" s="397"/>
      <c r="F26" s="397"/>
      <c r="G26" s="397"/>
      <c r="H26" s="351"/>
      <c r="I26" s="395" t="s">
        <v>943</v>
      </c>
      <c r="J26" s="397"/>
      <c r="K26" s="351"/>
      <c r="L26" s="396" t="s">
        <v>944</v>
      </c>
      <c r="M26" s="399"/>
      <c r="N26" s="397"/>
      <c r="O26" s="397"/>
      <c r="P26" s="398"/>
    </row>
    <row r="27" ht="62" customHeight="1" spans="1:16" s="351" customFormat="1" x14ac:dyDescent="0.25">
      <c r="A27" s="351"/>
      <c r="B27" s="351"/>
      <c r="C27" s="351"/>
      <c r="D27" s="351"/>
      <c r="E27" s="351"/>
      <c r="F27" s="351"/>
      <c r="G27" s="351"/>
      <c r="H27" s="351"/>
      <c r="I27" s="351"/>
      <c r="J27" s="351"/>
      <c r="K27" s="351"/>
      <c r="L27" s="400" t="s">
        <v>945</v>
      </c>
      <c r="M27" s="351"/>
      <c r="N27" s="401" t="s">
        <v>946</v>
      </c>
      <c r="O27" s="351"/>
      <c r="P27" s="402"/>
    </row>
    <row r="28" ht="45" customHeight="1" spans="1:16" s="351" customFormat="1" x14ac:dyDescent="0.25">
      <c r="A28" s="351"/>
      <c r="B28" s="351"/>
      <c r="C28" s="351"/>
      <c r="D28" s="351"/>
      <c r="E28" s="351"/>
      <c r="F28" s="351"/>
      <c r="G28" s="351"/>
      <c r="H28" s="351"/>
      <c r="I28" s="392" t="s">
        <v>947</v>
      </c>
      <c r="J28" s="393" t="s">
        <v>948</v>
      </c>
      <c r="K28" s="403" t="s">
        <v>949</v>
      </c>
      <c r="L28" s="404" t="s">
        <v>950</v>
      </c>
      <c r="M28" s="405"/>
      <c r="N28" s="405"/>
      <c r="O28" s="405"/>
      <c r="P28" s="406"/>
    </row>
    <row r="29" ht="32" customHeight="1" spans="1:19" s="367" customFormat="1" x14ac:dyDescent="0.25">
      <c r="A29" s="368"/>
      <c r="B29" s="367"/>
      <c r="C29" s="367"/>
      <c r="D29" s="367"/>
      <c r="E29" s="367"/>
      <c r="F29" s="367"/>
      <c r="G29" s="367"/>
      <c r="H29" s="367"/>
      <c r="I29" s="395" t="s">
        <v>951</v>
      </c>
      <c r="J29" s="407" t="s">
        <v>952</v>
      </c>
      <c r="K29" s="351"/>
      <c r="L29" s="367"/>
      <c r="M29" s="367"/>
      <c r="N29" s="367"/>
      <c r="O29" s="367"/>
      <c r="P29" s="367"/>
      <c r="Q29" s="367"/>
      <c r="R29" s="125"/>
      <c r="S29" s="408"/>
    </row>
    <row r="30" ht="32" customHeight="1" spans="1:19" s="367" customFormat="1" x14ac:dyDescent="0.25">
      <c r="A30" s="368"/>
      <c r="B30" s="367"/>
      <c r="C30" s="409"/>
      <c r="D30" s="367"/>
      <c r="E30" s="367"/>
      <c r="F30" s="367"/>
      <c r="G30" s="367"/>
      <c r="H30" s="367"/>
      <c r="I30" s="367"/>
      <c r="J30" s="367"/>
      <c r="K30" s="367"/>
      <c r="L30" s="367"/>
      <c r="M30" s="367"/>
      <c r="N30" s="367"/>
      <c r="O30" s="367"/>
      <c r="P30" s="367"/>
      <c r="Q30" s="367"/>
      <c r="R30" s="125"/>
      <c r="S30" s="408"/>
    </row>
    <row r="31" ht="32" customHeight="1" spans="1:19" s="367" customFormat="1" x14ac:dyDescent="0.25">
      <c r="A31" s="368"/>
      <c r="B31" s="367"/>
      <c r="C31" s="367"/>
      <c r="D31" s="367"/>
      <c r="E31" s="367"/>
      <c r="F31" s="367"/>
      <c r="G31" s="367"/>
      <c r="H31" s="367"/>
      <c r="I31" s="367"/>
      <c r="J31" s="367"/>
      <c r="K31" s="367"/>
      <c r="L31" s="367"/>
      <c r="M31" s="367"/>
      <c r="N31" s="367"/>
      <c r="O31" s="367"/>
      <c r="P31" s="367"/>
      <c r="Q31" s="367"/>
      <c r="R31" s="125"/>
      <c r="S31" s="408"/>
    </row>
    <row r="32" ht="32" customHeight="1" spans="1:19" s="367" customFormat="1" x14ac:dyDescent="0.25">
      <c r="A32" s="368"/>
      <c r="B32" s="367"/>
      <c r="C32" s="367"/>
      <c r="D32" s="367"/>
      <c r="E32" s="367"/>
      <c r="F32" s="367"/>
      <c r="G32" s="367"/>
      <c r="H32" s="367"/>
      <c r="I32" s="367"/>
      <c r="J32" s="367"/>
      <c r="K32" s="367"/>
      <c r="L32" s="367"/>
      <c r="M32" s="367"/>
      <c r="N32" s="367"/>
      <c r="O32" s="367"/>
      <c r="P32" s="367"/>
      <c r="Q32" s="367"/>
      <c r="R32" s="125"/>
      <c r="S32" s="408"/>
    </row>
    <row r="33" ht="32" customHeight="1" spans="1:19" s="367" customFormat="1" x14ac:dyDescent="0.25">
      <c r="A33" s="368"/>
      <c r="B33" s="367"/>
      <c r="C33" s="367"/>
      <c r="D33" s="367"/>
      <c r="E33" s="367"/>
      <c r="F33" s="367"/>
      <c r="G33" s="367"/>
      <c r="H33" s="367"/>
      <c r="I33" s="367"/>
      <c r="J33" s="367"/>
      <c r="K33" s="367"/>
      <c r="L33" s="367"/>
      <c r="M33" s="367"/>
      <c r="N33" s="367"/>
      <c r="O33" s="367"/>
      <c r="P33" s="367"/>
      <c r="Q33" s="367"/>
      <c r="R33" s="125"/>
      <c r="S33" s="408"/>
    </row>
    <row r="34" ht="32" customHeight="1" spans="1:19" s="367" customFormat="1" x14ac:dyDescent="0.25">
      <c r="A34" s="368"/>
      <c r="B34" s="367"/>
      <c r="C34" s="367"/>
      <c r="D34" s="367"/>
      <c r="E34" s="367"/>
      <c r="F34" s="367"/>
      <c r="G34" s="367"/>
      <c r="H34" s="367"/>
      <c r="I34" s="367"/>
      <c r="J34" s="367"/>
      <c r="K34" s="367"/>
      <c r="L34" s="367"/>
      <c r="M34" s="367"/>
      <c r="N34" s="367"/>
      <c r="O34" s="367"/>
      <c r="P34" s="367"/>
      <c r="Q34" s="367"/>
      <c r="R34" s="125"/>
      <c r="S34" s="408"/>
    </row>
    <row r="35" ht="32" customHeight="1" spans="1:19" s="367" customFormat="1" x14ac:dyDescent="0.25">
      <c r="A35" s="368"/>
      <c r="B35" s="367"/>
      <c r="C35" s="367"/>
      <c r="D35" s="367"/>
      <c r="E35" s="367"/>
      <c r="F35" s="367"/>
      <c r="G35" s="367"/>
      <c r="H35" s="367"/>
      <c r="I35" s="367"/>
      <c r="J35" s="367"/>
      <c r="K35" s="367"/>
      <c r="L35" s="367"/>
      <c r="M35" s="367"/>
      <c r="N35" s="367"/>
      <c r="O35" s="367"/>
      <c r="P35" s="367"/>
      <c r="Q35" s="367"/>
      <c r="R35" s="125"/>
      <c r="S35" s="408"/>
    </row>
    <row r="36" ht="32" customHeight="1" spans="1:19" s="367" customFormat="1" x14ac:dyDescent="0.25">
      <c r="A36" s="368"/>
      <c r="B36" s="367"/>
      <c r="C36" s="367"/>
      <c r="D36" s="367"/>
      <c r="E36" s="367"/>
      <c r="F36" s="367"/>
      <c r="G36" s="367"/>
      <c r="H36" s="367"/>
      <c r="I36" s="367"/>
      <c r="J36" s="367"/>
      <c r="K36" s="367"/>
      <c r="L36" s="367"/>
      <c r="M36" s="367"/>
      <c r="N36" s="367"/>
      <c r="O36" s="367"/>
      <c r="P36" s="367"/>
      <c r="Q36" s="367"/>
      <c r="R36" s="125"/>
      <c r="S36" s="408"/>
    </row>
    <row r="37" ht="32" customHeight="1" spans="1:19" s="367" customFormat="1" x14ac:dyDescent="0.25">
      <c r="A37" s="368"/>
      <c r="B37" s="367"/>
      <c r="C37" s="367"/>
      <c r="D37" s="367"/>
      <c r="E37" s="367"/>
      <c r="F37" s="367"/>
      <c r="G37" s="367"/>
      <c r="H37" s="367"/>
      <c r="I37" s="367"/>
      <c r="J37" s="367"/>
      <c r="K37" s="367"/>
      <c r="L37" s="367"/>
      <c r="M37" s="367"/>
      <c r="N37" s="367"/>
      <c r="O37" s="367"/>
      <c r="P37" s="367"/>
      <c r="Q37" s="367"/>
      <c r="R37" s="125"/>
      <c r="S37" s="408"/>
    </row>
    <row r="38" ht="32" customHeight="1" spans="1:19" s="367" customFormat="1" x14ac:dyDescent="0.25">
      <c r="A38" s="368"/>
      <c r="B38" s="367"/>
      <c r="C38" s="367"/>
      <c r="D38" s="367"/>
      <c r="E38" s="367"/>
      <c r="F38" s="367"/>
      <c r="G38" s="367"/>
      <c r="H38" s="367"/>
      <c r="I38" s="367"/>
      <c r="J38" s="367"/>
      <c r="K38" s="367"/>
      <c r="L38" s="367"/>
      <c r="M38" s="367"/>
      <c r="N38" s="367"/>
      <c r="O38" s="367"/>
      <c r="P38" s="367"/>
      <c r="Q38" s="367"/>
      <c r="R38" s="125"/>
      <c r="S38" s="408"/>
    </row>
    <row r="39" ht="32" customHeight="1" spans="1:19" s="367" customFormat="1" x14ac:dyDescent="0.25">
      <c r="A39" s="368"/>
      <c r="B39" s="367"/>
      <c r="C39" s="367"/>
      <c r="D39" s="367"/>
      <c r="E39" s="367"/>
      <c r="F39" s="367"/>
      <c r="G39" s="367"/>
      <c r="H39" s="367"/>
      <c r="I39" s="367"/>
      <c r="J39" s="367"/>
      <c r="K39" s="367"/>
      <c r="L39" s="367"/>
      <c r="M39" s="367"/>
      <c r="N39" s="367"/>
      <c r="O39" s="367"/>
      <c r="P39" s="367"/>
      <c r="Q39" s="367"/>
      <c r="R39" s="125"/>
      <c r="S39" s="408"/>
    </row>
    <row r="40" ht="32" customHeight="1" spans="1:19" s="367" customFormat="1" x14ac:dyDescent="0.25">
      <c r="A40" s="368"/>
      <c r="B40" s="367"/>
      <c r="C40" s="367"/>
      <c r="D40" s="367"/>
      <c r="E40" s="367"/>
      <c r="F40" s="367"/>
      <c r="G40" s="367"/>
      <c r="H40" s="367"/>
      <c r="I40" s="367"/>
      <c r="J40" s="367"/>
      <c r="K40" s="367"/>
      <c r="L40" s="367"/>
      <c r="M40" s="367"/>
      <c r="N40" s="367"/>
      <c r="O40" s="367"/>
      <c r="P40" s="367"/>
      <c r="Q40" s="367"/>
      <c r="R40" s="125"/>
      <c r="S40" s="408"/>
    </row>
    <row r="41" ht="32" customHeight="1" spans="1:19" s="367" customFormat="1" x14ac:dyDescent="0.25">
      <c r="A41" s="368"/>
      <c r="B41" s="367"/>
      <c r="C41" s="367"/>
      <c r="D41" s="367"/>
      <c r="E41" s="367"/>
      <c r="F41" s="367"/>
      <c r="G41" s="367"/>
      <c r="H41" s="367"/>
      <c r="I41" s="367"/>
      <c r="J41" s="367"/>
      <c r="K41" s="367"/>
      <c r="L41" s="367"/>
      <c r="M41" s="367"/>
      <c r="N41" s="367"/>
      <c r="O41" s="367"/>
      <c r="P41" s="367"/>
      <c r="Q41" s="367"/>
      <c r="R41" s="125"/>
      <c r="S41" s="408"/>
    </row>
    <row r="42" ht="32" customHeight="1" spans="1:19" s="367" customFormat="1" x14ac:dyDescent="0.25">
      <c r="A42" s="368"/>
      <c r="B42" s="367"/>
      <c r="C42" s="367"/>
      <c r="D42" s="367"/>
      <c r="E42" s="367"/>
      <c r="F42" s="367"/>
      <c r="G42" s="367"/>
      <c r="H42" s="367"/>
      <c r="I42" s="367"/>
      <c r="J42" s="367"/>
      <c r="K42" s="367"/>
      <c r="L42" s="367"/>
      <c r="M42" s="367"/>
      <c r="N42" s="367"/>
      <c r="O42" s="367"/>
      <c r="P42" s="367"/>
      <c r="Q42" s="367"/>
      <c r="R42" s="125"/>
      <c r="S42" s="408"/>
    </row>
    <row r="43" ht="32" customHeight="1" spans="1:19" s="367" customFormat="1" x14ac:dyDescent="0.25">
      <c r="A43" s="368"/>
      <c r="B43" s="367"/>
      <c r="C43" s="367"/>
      <c r="D43" s="367"/>
      <c r="E43" s="367"/>
      <c r="F43" s="367"/>
      <c r="G43" s="367"/>
      <c r="H43" s="367"/>
      <c r="I43" s="367"/>
      <c r="J43" s="367"/>
      <c r="K43" s="367"/>
      <c r="L43" s="367"/>
      <c r="M43" s="367"/>
      <c r="N43" s="367"/>
      <c r="O43" s="367"/>
      <c r="P43" s="367"/>
      <c r="Q43" s="367"/>
      <c r="R43" s="125"/>
      <c r="S43" s="408"/>
    </row>
    <row r="44" ht="32" customHeight="1" spans="1:19" s="367" customFormat="1" x14ac:dyDescent="0.25">
      <c r="A44" s="368"/>
      <c r="B44" s="367"/>
      <c r="C44" s="367"/>
      <c r="D44" s="367"/>
      <c r="E44" s="367"/>
      <c r="F44" s="367"/>
      <c r="G44" s="367"/>
      <c r="H44" s="367"/>
      <c r="I44" s="367"/>
      <c r="J44" s="367"/>
      <c r="K44" s="367"/>
      <c r="L44" s="367"/>
      <c r="M44" s="367"/>
      <c r="N44" s="367"/>
      <c r="O44" s="367"/>
      <c r="P44" s="367"/>
      <c r="Q44" s="367"/>
      <c r="R44" s="125"/>
      <c r="S44" s="408"/>
    </row>
    <row r="45" ht="32" customHeight="1" spans="1:19" s="367" customFormat="1" x14ac:dyDescent="0.25">
      <c r="A45" s="368"/>
      <c r="B45" s="367"/>
      <c r="C45" s="367"/>
      <c r="D45" s="367"/>
      <c r="E45" s="367"/>
      <c r="F45" s="367"/>
      <c r="G45" s="367"/>
      <c r="H45" s="367"/>
      <c r="I45" s="367"/>
      <c r="J45" s="367"/>
      <c r="K45" s="367"/>
      <c r="L45" s="367"/>
      <c r="M45" s="367"/>
      <c r="N45" s="367"/>
      <c r="O45" s="367"/>
      <c r="P45" s="367"/>
      <c r="Q45" s="367"/>
      <c r="R45" s="125"/>
      <c r="S45" s="408"/>
    </row>
    <row r="46" ht="32" customHeight="1" spans="1:19" s="367" customFormat="1" x14ac:dyDescent="0.25">
      <c r="A46" s="368"/>
      <c r="B46" s="367"/>
      <c r="C46" s="367"/>
      <c r="D46" s="367"/>
      <c r="E46" s="367"/>
      <c r="F46" s="367"/>
      <c r="G46" s="367"/>
      <c r="H46" s="367"/>
      <c r="I46" s="367"/>
      <c r="J46" s="367"/>
      <c r="K46" s="367"/>
      <c r="L46" s="367"/>
      <c r="M46" s="367"/>
      <c r="N46" s="367"/>
      <c r="O46" s="367"/>
      <c r="P46" s="367"/>
      <c r="Q46" s="367"/>
      <c r="R46" s="125"/>
      <c r="S46" s="408"/>
    </row>
    <row r="47" ht="32" customHeight="1" spans="1:19" s="367" customFormat="1" x14ac:dyDescent="0.25">
      <c r="A47" s="368"/>
      <c r="B47" s="367"/>
      <c r="C47" s="367"/>
      <c r="D47" s="367"/>
      <c r="E47" s="367"/>
      <c r="F47" s="367"/>
      <c r="G47" s="367"/>
      <c r="H47" s="367"/>
      <c r="I47" s="367"/>
      <c r="J47" s="367"/>
      <c r="K47" s="367"/>
      <c r="L47" s="367"/>
      <c r="M47" s="367"/>
      <c r="N47" s="367"/>
      <c r="O47" s="367"/>
      <c r="P47" s="367"/>
      <c r="Q47" s="367"/>
      <c r="R47" s="125"/>
      <c r="S47" s="408"/>
    </row>
    <row r="48" ht="32" customHeight="1" spans="1:19" s="367" customFormat="1" x14ac:dyDescent="0.25">
      <c r="A48" s="368"/>
      <c r="B48" s="367"/>
      <c r="C48" s="367"/>
      <c r="D48" s="367"/>
      <c r="E48" s="367"/>
      <c r="F48" s="367"/>
      <c r="G48" s="367"/>
      <c r="H48" s="367"/>
      <c r="I48" s="367"/>
      <c r="J48" s="367"/>
      <c r="K48" s="367"/>
      <c r="L48" s="367"/>
      <c r="M48" s="367"/>
      <c r="N48" s="367"/>
      <c r="O48" s="367"/>
      <c r="P48" s="367"/>
      <c r="Q48" s="367"/>
      <c r="R48" s="125"/>
      <c r="S48" s="408"/>
    </row>
    <row r="49" ht="32" customHeight="1" spans="1:19" s="367" customFormat="1" x14ac:dyDescent="0.25">
      <c r="A49" s="368"/>
      <c r="B49" s="367"/>
      <c r="C49" s="367"/>
      <c r="D49" s="367"/>
      <c r="E49" s="367"/>
      <c r="F49" s="367"/>
      <c r="G49" s="367"/>
      <c r="H49" s="367"/>
      <c r="I49" s="367"/>
      <c r="J49" s="367"/>
      <c r="K49" s="367"/>
      <c r="L49" s="367"/>
      <c r="M49" s="367"/>
      <c r="N49" s="367"/>
      <c r="O49" s="367"/>
      <c r="P49" s="367"/>
      <c r="Q49" s="367"/>
      <c r="R49" s="125"/>
      <c r="S49" s="408"/>
    </row>
    <row r="50" ht="32" customHeight="1" spans="1:19" s="367" customFormat="1" x14ac:dyDescent="0.25">
      <c r="A50" s="368"/>
      <c r="B50" s="367"/>
      <c r="C50" s="367"/>
      <c r="D50" s="367"/>
      <c r="E50" s="367"/>
      <c r="F50" s="367"/>
      <c r="G50" s="367"/>
      <c r="H50" s="367"/>
      <c r="I50" s="367"/>
      <c r="J50" s="367"/>
      <c r="K50" s="367"/>
      <c r="L50" s="367"/>
      <c r="M50" s="367"/>
      <c r="N50" s="367"/>
      <c r="O50" s="367"/>
      <c r="P50" s="367"/>
      <c r="Q50" s="367"/>
      <c r="R50" s="125"/>
      <c r="S50" s="408"/>
    </row>
    <row r="51" ht="32" customHeight="1" spans="1:19" s="367" customFormat="1" x14ac:dyDescent="0.25">
      <c r="A51" s="368"/>
      <c r="B51" s="367"/>
      <c r="C51" s="367"/>
      <c r="D51" s="367"/>
      <c r="E51" s="367"/>
      <c r="F51" s="367"/>
      <c r="G51" s="367"/>
      <c r="H51" s="367"/>
      <c r="I51" s="367"/>
      <c r="J51" s="367"/>
      <c r="K51" s="367"/>
      <c r="L51" s="367"/>
      <c r="M51" s="367"/>
      <c r="N51" s="367"/>
      <c r="O51" s="367"/>
      <c r="P51" s="367"/>
      <c r="Q51" s="367"/>
      <c r="R51" s="125"/>
      <c r="S51" s="408"/>
    </row>
    <row r="52" ht="32" customHeight="1" spans="1:19" s="367" customFormat="1" x14ac:dyDescent="0.25">
      <c r="A52" s="368"/>
      <c r="B52" s="367"/>
      <c r="C52" s="367"/>
      <c r="D52" s="367"/>
      <c r="E52" s="367"/>
      <c r="F52" s="367"/>
      <c r="G52" s="367"/>
      <c r="H52" s="367"/>
      <c r="I52" s="367"/>
      <c r="J52" s="367"/>
      <c r="K52" s="367"/>
      <c r="L52" s="367"/>
      <c r="M52" s="367"/>
      <c r="N52" s="367"/>
      <c r="O52" s="367"/>
      <c r="P52" s="367"/>
      <c r="Q52" s="367"/>
      <c r="R52" s="125"/>
      <c r="S52" s="408"/>
    </row>
    <row r="53" ht="32" customHeight="1" spans="1:19" s="367" customFormat="1" x14ac:dyDescent="0.25">
      <c r="A53" s="367"/>
      <c r="B53" s="367"/>
      <c r="C53" s="367"/>
      <c r="D53" s="367"/>
      <c r="E53" s="367"/>
      <c r="F53" s="367"/>
      <c r="G53" s="367"/>
      <c r="H53" s="367"/>
      <c r="I53" s="367"/>
      <c r="J53" s="367"/>
      <c r="K53" s="367"/>
      <c r="L53" s="367"/>
      <c r="M53" s="367"/>
      <c r="N53" s="367"/>
      <c r="O53" s="367"/>
      <c r="P53" s="367"/>
      <c r="Q53" s="367"/>
      <c r="R53" s="125"/>
      <c r="S53" s="408"/>
    </row>
  </sheetData>
  <mergeCells count="6">
    <mergeCell ref="A1:N1"/>
    <mergeCell ref="L2:M2"/>
    <mergeCell ref="I12:J13"/>
    <mergeCell ref="I14:J15"/>
    <mergeCell ref="R15:S15"/>
    <mergeCell ref="L21:P22"/>
  </mergeCells>
  <printOptions horizontalCentered="1" verticalCentered="1"/>
  <pageMargins left="0" right="0" top="0.25" bottom="0.25" header="0.3" footer="0.3"/>
  <pageSetup paperSize="9" orientation="landscape" horizontalDpi="0" verticalDpi="0" scale="45" fitToWidth="1" fitToHeight="1" firstPageNumber="1" useFirstPageNumber="1" copies="1"/>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6"/>
  <sheetViews>
    <sheetView workbookViewId="0" showGridLines="0" zoomScale="80" zoomScaleNormal="80">
      <selection activeCell="E17" sqref="E17"/>
    </sheetView>
  </sheetViews>
  <sheetFormatPr defaultRowHeight="16" outlineLevelRow="0" outlineLevelCol="0" x14ac:dyDescent="0" defaultColWidth="11" customHeight="1"/>
  <cols>
    <col min="1" max="1" width="30.83203125" style="1" customWidth="1"/>
    <col min="2" max="2" width="14.83203125" customWidth="1"/>
    <col min="3" max="3" width="30.83203125" style="1" customWidth="1"/>
    <col min="4" max="4" width="18.6640625" customWidth="1"/>
    <col min="5" max="5" width="30.83203125" customWidth="1"/>
    <col min="6" max="6" width="13.33203125" customWidth="1"/>
    <col min="7" max="7" width="30.83203125" customWidth="1"/>
    <col min="8" max="8" width="10.5" customWidth="1"/>
    <col min="9" max="9" width="30.83203125" customWidth="1"/>
    <col min="10" max="10" width="11.1640625" customWidth="1"/>
    <col min="11" max="11" width="32" customWidth="1"/>
    <col min="12" max="12" width="21.6640625" customWidth="1"/>
    <col min="13" max="13" width="57.83203125" customWidth="1"/>
  </cols>
  <sheetData>
    <row r="1" ht="94" customHeight="1" spans="1:3" s="2" customFormat="1" x14ac:dyDescent="0.25">
      <c r="A1" s="3"/>
      <c r="B1" s="2"/>
      <c r="C1" s="3"/>
    </row>
    <row r="3" spans="1:15" x14ac:dyDescent="0.25">
      <c r="A3" s="1"/>
      <c r="C3" s="1"/>
      <c r="O3" s="437">
        <v>44926</v>
      </c>
    </row>
    <row r="15" ht="19" customHeight="1" spans="1:13" x14ac:dyDescent="0.25">
      <c r="A15" s="1"/>
      <c r="C15" s="1"/>
      <c r="L15" s="8"/>
      <c r="M15" s="438" t="s">
        <v>968</v>
      </c>
    </row>
    <row r="16" ht="24" customHeight="1" spans="1:13" s="9" customFormat="1" x14ac:dyDescent="0.25">
      <c r="A16" s="10">
        <f>COUNTA(A17:A75)</f>
        <v>59</v>
      </c>
      <c r="B16" s="11"/>
      <c r="C16" s="10">
        <f>COUNTA(C17:C75)</f>
        <v>54</v>
      </c>
      <c r="D16" s="12"/>
      <c r="E16" s="12">
        <f t="shared" ref="E16" si="0">COUNTA(E17:E75)</f>
        <v>7</v>
      </c>
      <c r="F16" s="12"/>
      <c r="G16" s="12">
        <f>COUNTA(G17:G74)</f>
        <v>15</v>
      </c>
      <c r="H16" s="12"/>
      <c r="I16" s="12">
        <f>COUNTA(I17:I76)</f>
        <v>5</v>
      </c>
      <c r="J16" s="12"/>
      <c r="K16" s="12">
        <f>COUNTA(K17:K76)</f>
        <v>9</v>
      </c>
      <c r="L16" s="12"/>
      <c r="M16" s="439" t="s">
        <v>969</v>
      </c>
    </row>
    <row r="17" ht="29" customHeight="1" spans="1:13" s="13" customFormat="1" x14ac:dyDescent="0.25">
      <c r="A17" s="20" t="s">
        <v>970</v>
      </c>
      <c r="B17" s="440"/>
      <c r="C17" s="20" t="s">
        <v>971</v>
      </c>
      <c r="D17" s="18"/>
      <c r="E17" s="20" t="s">
        <v>106</v>
      </c>
      <c r="F17" s="18"/>
      <c r="G17" s="20" t="s">
        <v>376</v>
      </c>
      <c r="H17" s="13"/>
      <c r="I17" s="20" t="s">
        <v>8</v>
      </c>
      <c r="J17" s="13"/>
      <c r="K17" s="20" t="s">
        <v>9</v>
      </c>
      <c r="L17" s="20"/>
      <c r="M17" s="22" t="s">
        <v>18</v>
      </c>
    </row>
    <row r="18" ht="29" customHeight="1" spans="1:13" s="13" customFormat="1" x14ac:dyDescent="0.25">
      <c r="A18" s="20" t="s">
        <v>972</v>
      </c>
      <c r="B18" s="440"/>
      <c r="C18" s="20" t="s">
        <v>13</v>
      </c>
      <c r="D18" s="18"/>
      <c r="E18" s="20" t="s">
        <v>111</v>
      </c>
      <c r="F18" s="18"/>
      <c r="G18" s="20" t="s">
        <v>15</v>
      </c>
      <c r="H18" s="13"/>
      <c r="I18" s="20" t="s">
        <v>16</v>
      </c>
      <c r="J18" s="13"/>
      <c r="K18" s="20" t="s">
        <v>17</v>
      </c>
      <c r="L18" s="20"/>
      <c r="M18" s="22" t="s">
        <v>973</v>
      </c>
    </row>
    <row r="19" ht="29" customHeight="1" spans="1:13" s="13" customFormat="1" x14ac:dyDescent="0.25">
      <c r="A19" s="20" t="s">
        <v>842</v>
      </c>
      <c r="B19" s="440"/>
      <c r="C19" s="20" t="s">
        <v>21</v>
      </c>
      <c r="D19" s="18"/>
      <c r="E19" s="20" t="s">
        <v>116</v>
      </c>
      <c r="F19" s="18"/>
      <c r="G19" s="20" t="s">
        <v>32</v>
      </c>
      <c r="H19" s="13"/>
      <c r="I19" s="20" t="s">
        <v>24</v>
      </c>
      <c r="J19" s="13"/>
      <c r="K19" s="20" t="s">
        <v>49</v>
      </c>
      <c r="L19" s="20"/>
      <c r="M19" s="22" t="s">
        <v>35</v>
      </c>
    </row>
    <row r="20" ht="29" customHeight="1" spans="1:13" s="13" customFormat="1" x14ac:dyDescent="0.25">
      <c r="A20" s="20" t="s">
        <v>838</v>
      </c>
      <c r="B20" s="440"/>
      <c r="C20" s="20" t="s">
        <v>30</v>
      </c>
      <c r="D20" s="18"/>
      <c r="E20" s="20" t="s">
        <v>119</v>
      </c>
      <c r="F20" s="18"/>
      <c r="G20" s="20" t="s">
        <v>39</v>
      </c>
      <c r="H20" s="13"/>
      <c r="I20" s="20" t="s">
        <v>33</v>
      </c>
      <c r="J20" s="13"/>
      <c r="K20" s="20" t="s">
        <v>25</v>
      </c>
      <c r="L20" s="20"/>
      <c r="M20" s="22" t="s">
        <v>45</v>
      </c>
    </row>
    <row r="21" ht="29" customHeight="1" spans="1:13" s="13" customFormat="1" x14ac:dyDescent="0.25">
      <c r="A21" s="20" t="s">
        <v>936</v>
      </c>
      <c r="B21" s="440"/>
      <c r="C21" s="20" t="s">
        <v>35</v>
      </c>
      <c r="D21" s="18"/>
      <c r="E21" s="20" t="s">
        <v>123</v>
      </c>
      <c r="F21" s="18"/>
      <c r="G21" s="20" t="s">
        <v>974</v>
      </c>
      <c r="H21" s="13"/>
      <c r="I21" s="20" t="s">
        <v>40</v>
      </c>
      <c r="J21" s="13"/>
      <c r="K21" s="20" t="s">
        <v>34</v>
      </c>
      <c r="L21" s="20"/>
      <c r="M21" s="22" t="s">
        <v>42</v>
      </c>
    </row>
    <row r="22" ht="29" customHeight="1" spans="1:13" s="13" customFormat="1" x14ac:dyDescent="0.25">
      <c r="A22" s="20" t="s">
        <v>975</v>
      </c>
      <c r="B22" s="440"/>
      <c r="C22" s="20" t="s">
        <v>45</v>
      </c>
      <c r="D22" s="18"/>
      <c r="E22" s="20" t="s">
        <v>128</v>
      </c>
      <c r="F22" s="18"/>
      <c r="G22" s="20" t="s">
        <v>47</v>
      </c>
      <c r="H22" s="13"/>
      <c r="I22" s="20"/>
      <c r="J22" s="13"/>
      <c r="K22" s="20" t="s">
        <v>41</v>
      </c>
      <c r="L22" s="20"/>
      <c r="M22" s="22" t="s">
        <v>56</v>
      </c>
    </row>
    <row r="23" ht="29" customHeight="1" spans="1:13" s="13" customFormat="1" x14ac:dyDescent="0.25">
      <c r="A23" s="20" t="s">
        <v>976</v>
      </c>
      <c r="B23" s="440"/>
      <c r="C23" s="20" t="s">
        <v>52</v>
      </c>
      <c r="D23" s="18"/>
      <c r="E23" s="20" t="s">
        <v>977</v>
      </c>
      <c r="F23" s="18"/>
      <c r="G23" s="20" t="s">
        <v>378</v>
      </c>
      <c r="H23" s="13"/>
      <c r="I23" s="20"/>
      <c r="J23" s="13"/>
      <c r="K23" s="20" t="s">
        <v>55</v>
      </c>
      <c r="L23" s="20"/>
      <c r="M23" s="22" t="s">
        <v>978</v>
      </c>
    </row>
    <row r="24" ht="29" customHeight="1" spans="1:13" s="13" customFormat="1" x14ac:dyDescent="0.25">
      <c r="A24" s="20" t="s">
        <v>807</v>
      </c>
      <c r="B24" s="440"/>
      <c r="C24" s="20" t="s">
        <v>42</v>
      </c>
      <c r="D24" s="18"/>
      <c r="E24" s="20"/>
      <c r="F24" s="18"/>
      <c r="G24" s="20" t="s">
        <v>59</v>
      </c>
      <c r="H24" s="13"/>
      <c r="I24" s="20"/>
      <c r="J24" s="13"/>
      <c r="K24" s="20" t="s">
        <v>75</v>
      </c>
      <c r="L24" s="20"/>
      <c r="M24" s="22" t="s">
        <v>71</v>
      </c>
    </row>
    <row r="25" ht="29" customHeight="1" spans="1:13" s="13" customFormat="1" x14ac:dyDescent="0.25">
      <c r="A25" s="20" t="s">
        <v>979</v>
      </c>
      <c r="B25" s="440"/>
      <c r="C25" s="20" t="s">
        <v>63</v>
      </c>
      <c r="D25" s="18"/>
      <c r="E25" s="20"/>
      <c r="F25" s="18"/>
      <c r="G25" s="20" t="s">
        <v>69</v>
      </c>
      <c r="H25" s="13"/>
      <c r="I25" s="20"/>
      <c r="J25" s="13"/>
      <c r="K25" s="20" t="s">
        <v>81</v>
      </c>
      <c r="L25" s="20"/>
      <c r="M25" s="30" t="s">
        <v>980</v>
      </c>
    </row>
    <row r="26" ht="29" customHeight="1" spans="1:13" s="13" customFormat="1" x14ac:dyDescent="0.25">
      <c r="A26" s="20" t="s">
        <v>981</v>
      </c>
      <c r="B26" s="440"/>
      <c r="C26" s="20" t="s">
        <v>68</v>
      </c>
      <c r="D26" s="18"/>
      <c r="E26" s="20"/>
      <c r="F26" s="18"/>
      <c r="G26" s="20" t="s">
        <v>74</v>
      </c>
      <c r="H26" s="13"/>
      <c r="I26" s="20"/>
      <c r="J26" s="13"/>
      <c r="K26" s="20"/>
      <c r="L26" s="20"/>
      <c r="M26" s="22" t="s">
        <v>93</v>
      </c>
    </row>
    <row r="27" ht="29" customHeight="1" spans="1:13" s="13" customFormat="1" x14ac:dyDescent="0.25">
      <c r="A27" s="20" t="s">
        <v>935</v>
      </c>
      <c r="B27" s="440"/>
      <c r="C27" s="20" t="s">
        <v>61</v>
      </c>
      <c r="D27" s="18"/>
      <c r="E27" s="18"/>
      <c r="F27" s="18"/>
      <c r="G27" s="20" t="s">
        <v>86</v>
      </c>
      <c r="H27" s="13"/>
      <c r="I27" s="20"/>
      <c r="J27" s="13"/>
      <c r="K27" s="20"/>
      <c r="L27" s="20"/>
      <c r="M27" s="22" t="s">
        <v>108</v>
      </c>
    </row>
    <row r="28" ht="29" customHeight="1" spans="1:13" s="13" customFormat="1" x14ac:dyDescent="0.25">
      <c r="A28" s="20" t="s">
        <v>840</v>
      </c>
      <c r="B28" s="440"/>
      <c r="C28" s="20" t="s">
        <v>78</v>
      </c>
      <c r="D28" s="18"/>
      <c r="E28" s="18"/>
      <c r="F28" s="18"/>
      <c r="G28" s="20" t="s">
        <v>91</v>
      </c>
      <c r="H28" s="13"/>
      <c r="I28" s="20"/>
      <c r="J28" s="13"/>
      <c r="K28" s="20"/>
      <c r="L28" s="20"/>
      <c r="M28" s="34" t="s">
        <v>121</v>
      </c>
    </row>
    <row r="29" ht="29" customHeight="1" spans="1:13" s="13" customFormat="1" x14ac:dyDescent="0.25">
      <c r="A29" s="20" t="s">
        <v>839</v>
      </c>
      <c r="B29" s="440"/>
      <c r="C29" s="20" t="s">
        <v>71</v>
      </c>
      <c r="D29" s="18"/>
      <c r="E29" s="18"/>
      <c r="F29" s="18"/>
      <c r="G29" s="20" t="s">
        <v>107</v>
      </c>
      <c r="H29" s="13"/>
      <c r="I29" s="20"/>
      <c r="J29" s="13"/>
      <c r="K29" s="20"/>
      <c r="L29" s="20"/>
      <c r="M29" s="22" t="s">
        <v>982</v>
      </c>
    </row>
    <row r="30" ht="29" customHeight="1" spans="1:13" s="13" customFormat="1" x14ac:dyDescent="0.25">
      <c r="A30" s="20" t="s">
        <v>983</v>
      </c>
      <c r="B30" s="440"/>
      <c r="C30" s="20" t="s">
        <v>95</v>
      </c>
      <c r="D30" s="18"/>
      <c r="E30" s="18"/>
      <c r="F30" s="18"/>
      <c r="G30" s="20" t="s">
        <v>120</v>
      </c>
      <c r="H30" s="13"/>
      <c r="I30" s="20"/>
      <c r="J30" s="13"/>
      <c r="K30" s="20"/>
      <c r="L30" s="20"/>
      <c r="M30" s="30" t="s">
        <v>133</v>
      </c>
    </row>
    <row r="31" ht="29" customHeight="1" spans="1:13" s="13" customFormat="1" x14ac:dyDescent="0.25">
      <c r="A31" s="20" t="s">
        <v>984</v>
      </c>
      <c r="B31" s="440"/>
      <c r="C31" s="20" t="s">
        <v>99</v>
      </c>
      <c r="D31" s="18"/>
      <c r="E31" s="18"/>
      <c r="F31" s="18"/>
      <c r="G31" s="20" t="s">
        <v>124</v>
      </c>
      <c r="H31" s="13"/>
      <c r="I31" s="20"/>
      <c r="J31" s="13"/>
      <c r="K31" s="20"/>
      <c r="L31" s="20"/>
      <c r="M31" s="30" t="s">
        <v>138</v>
      </c>
    </row>
    <row r="32" ht="29" customHeight="1" spans="1:13" s="13" customFormat="1" x14ac:dyDescent="0.25">
      <c r="A32" s="20" t="s">
        <v>985</v>
      </c>
      <c r="B32" s="440"/>
      <c r="C32" s="20" t="s">
        <v>105</v>
      </c>
      <c r="D32" s="18"/>
      <c r="E32" s="18"/>
      <c r="F32" s="18"/>
      <c r="G32" s="18"/>
      <c r="H32" s="13"/>
      <c r="I32" s="20"/>
      <c r="J32" s="13"/>
      <c r="K32" s="20"/>
      <c r="L32" s="20"/>
      <c r="M32" s="22" t="s">
        <v>141</v>
      </c>
    </row>
    <row r="33" ht="29" customHeight="1" spans="1:13" s="13" customFormat="1" x14ac:dyDescent="0.25">
      <c r="A33" s="20" t="s">
        <v>986</v>
      </c>
      <c r="B33" s="440"/>
      <c r="C33" s="20" t="s">
        <v>110</v>
      </c>
      <c r="D33" s="18"/>
      <c r="E33" s="18"/>
      <c r="F33" s="18"/>
      <c r="G33" s="18"/>
      <c r="H33" s="13"/>
      <c r="I33" s="18"/>
      <c r="J33" s="13"/>
      <c r="K33" s="18"/>
      <c r="L33" s="18"/>
      <c r="M33" s="22" t="s">
        <v>144</v>
      </c>
    </row>
    <row r="34" ht="29" customHeight="1" spans="1:13" s="13" customFormat="1" x14ac:dyDescent="0.25">
      <c r="A34" s="20" t="s">
        <v>987</v>
      </c>
      <c r="B34" s="440"/>
      <c r="C34" s="20" t="s">
        <v>115</v>
      </c>
      <c r="D34" s="18"/>
      <c r="E34" s="18"/>
      <c r="F34" s="18"/>
      <c r="G34" s="18"/>
      <c r="H34" s="13"/>
      <c r="I34" s="18"/>
      <c r="J34" s="13"/>
      <c r="K34" s="18"/>
      <c r="L34" s="18"/>
      <c r="M34" s="22" t="s">
        <v>148</v>
      </c>
    </row>
    <row r="35" ht="29" customHeight="1" spans="1:13" s="13" customFormat="1" x14ac:dyDescent="0.25">
      <c r="A35" s="20" t="s">
        <v>988</v>
      </c>
      <c r="B35" s="440"/>
      <c r="C35" s="20" t="s">
        <v>93</v>
      </c>
      <c r="D35" s="18"/>
      <c r="E35" s="18"/>
      <c r="F35" s="18"/>
      <c r="G35" s="18"/>
      <c r="H35" s="13"/>
      <c r="I35" s="18"/>
      <c r="J35" s="13"/>
      <c r="K35" s="18"/>
      <c r="L35" s="18"/>
      <c r="M35" s="30" t="s">
        <v>151</v>
      </c>
    </row>
    <row r="36" ht="29" customHeight="1" spans="1:13" s="13" customFormat="1" x14ac:dyDescent="0.25">
      <c r="A36" s="20" t="s">
        <v>989</v>
      </c>
      <c r="B36" s="440"/>
      <c r="C36" s="20" t="s">
        <v>108</v>
      </c>
      <c r="D36" s="18"/>
      <c r="E36" s="18"/>
      <c r="F36" s="18"/>
      <c r="G36" s="18"/>
      <c r="H36" s="13"/>
      <c r="I36" s="18"/>
      <c r="J36" s="13"/>
      <c r="K36" s="18"/>
      <c r="L36" s="18"/>
      <c r="M36" s="22" t="s">
        <v>154</v>
      </c>
    </row>
    <row r="37" ht="29" customHeight="1" spans="1:13" s="13" customFormat="1" x14ac:dyDescent="0.25">
      <c r="A37" s="20" t="s">
        <v>990</v>
      </c>
      <c r="B37" s="440"/>
      <c r="C37" s="20" t="s">
        <v>137</v>
      </c>
      <c r="D37" s="18"/>
      <c r="E37" s="18"/>
      <c r="F37" s="18"/>
      <c r="G37" s="18"/>
      <c r="H37" s="13"/>
      <c r="I37" s="18"/>
      <c r="J37" s="13"/>
      <c r="K37" s="18"/>
      <c r="L37" s="18"/>
      <c r="M37" s="22" t="s">
        <v>991</v>
      </c>
    </row>
    <row r="38" ht="29" customHeight="1" spans="1:13" s="13" customFormat="1" x14ac:dyDescent="0.25">
      <c r="A38" s="20" t="s">
        <v>992</v>
      </c>
      <c r="B38" s="440"/>
      <c r="C38" s="20" t="s">
        <v>143</v>
      </c>
      <c r="D38" s="18"/>
      <c r="E38" s="18"/>
      <c r="F38" s="18"/>
      <c r="G38" s="18"/>
      <c r="H38" s="13"/>
      <c r="I38" s="18"/>
      <c r="J38" s="13"/>
      <c r="K38" s="18"/>
      <c r="L38" s="18"/>
      <c r="M38" s="22" t="s">
        <v>160</v>
      </c>
    </row>
    <row r="39" ht="29" customHeight="1" spans="1:13" s="13" customFormat="1" x14ac:dyDescent="0.25">
      <c r="A39" s="20"/>
      <c r="B39" s="440"/>
      <c r="C39" s="20" t="s">
        <v>150</v>
      </c>
      <c r="D39" s="18"/>
      <c r="E39" s="18"/>
      <c r="F39" s="18"/>
      <c r="G39" s="18"/>
      <c r="H39" s="13"/>
      <c r="I39" s="18"/>
      <c r="J39" s="13"/>
      <c r="K39" s="18"/>
      <c r="L39" s="18"/>
      <c r="M39" s="22" t="s">
        <v>162</v>
      </c>
    </row>
    <row r="40" ht="29" customHeight="1" spans="1:13" s="13" customFormat="1" x14ac:dyDescent="0.25">
      <c r="A40" s="20" t="s">
        <v>825</v>
      </c>
      <c r="B40" s="440"/>
      <c r="C40" s="20" t="s">
        <v>153</v>
      </c>
      <c r="D40" s="18"/>
      <c r="E40" s="18"/>
      <c r="F40" s="18"/>
      <c r="G40" s="18"/>
      <c r="H40" s="13"/>
      <c r="I40" s="18"/>
      <c r="J40" s="13"/>
      <c r="K40" s="18"/>
      <c r="L40" s="18"/>
      <c r="M40" s="22" t="s">
        <v>164</v>
      </c>
    </row>
    <row r="41" ht="29" customHeight="1" spans="1:13" s="13" customFormat="1" x14ac:dyDescent="0.25">
      <c r="A41" s="20" t="s">
        <v>940</v>
      </c>
      <c r="B41" s="440"/>
      <c r="C41" s="20" t="s">
        <v>129</v>
      </c>
      <c r="D41" s="18"/>
      <c r="E41" s="18"/>
      <c r="F41" s="18"/>
      <c r="G41" s="18"/>
      <c r="H41" s="13"/>
      <c r="I41" s="18"/>
      <c r="J41" s="13"/>
      <c r="K41" s="18"/>
      <c r="L41" s="18"/>
      <c r="M41" s="22" t="s">
        <v>167</v>
      </c>
    </row>
    <row r="42" ht="29" customHeight="1" spans="1:13" s="13" customFormat="1" x14ac:dyDescent="0.25">
      <c r="A42" s="20" t="s">
        <v>993</v>
      </c>
      <c r="B42" s="440"/>
      <c r="C42" s="41" t="s">
        <v>465</v>
      </c>
      <c r="D42" s="18"/>
      <c r="E42" s="18"/>
      <c r="F42" s="18"/>
      <c r="G42" s="18"/>
      <c r="H42" s="13"/>
      <c r="I42" s="18"/>
      <c r="J42" s="13"/>
      <c r="K42" s="18"/>
      <c r="L42" s="18"/>
      <c r="M42" s="22"/>
    </row>
    <row r="43" ht="29" customHeight="1" spans="1:13" s="13" customFormat="1" x14ac:dyDescent="0.25">
      <c r="A43" s="20" t="s">
        <v>994</v>
      </c>
      <c r="B43" s="440"/>
      <c r="C43" s="41" t="s">
        <v>159</v>
      </c>
      <c r="D43" s="18"/>
      <c r="E43" s="18"/>
      <c r="F43" s="18"/>
      <c r="G43" s="18"/>
      <c r="H43" s="13"/>
      <c r="I43" s="18"/>
      <c r="J43" s="13"/>
      <c r="K43" s="18"/>
      <c r="L43" s="18"/>
      <c r="M43" s="22"/>
    </row>
    <row r="44" ht="29" customHeight="1" spans="1:13" s="13" customFormat="1" x14ac:dyDescent="0.25">
      <c r="A44" s="20" t="s">
        <v>995</v>
      </c>
      <c r="B44" s="440"/>
      <c r="C44" s="41" t="s">
        <v>161</v>
      </c>
      <c r="D44" s="18"/>
      <c r="E44" s="18"/>
      <c r="F44" s="18"/>
      <c r="G44" s="18"/>
      <c r="H44" s="13"/>
      <c r="I44" s="18"/>
      <c r="J44" s="13"/>
      <c r="K44" s="18"/>
      <c r="L44" s="18"/>
      <c r="M44" s="22"/>
    </row>
    <row r="45" ht="29" customHeight="1" spans="1:12" s="13" customFormat="1" x14ac:dyDescent="0.25">
      <c r="A45" s="20" t="s">
        <v>941</v>
      </c>
      <c r="B45" s="440"/>
      <c r="C45" s="41" t="s">
        <v>163</v>
      </c>
      <c r="D45" s="18"/>
      <c r="E45" s="18"/>
      <c r="F45" s="18"/>
      <c r="G45" s="18"/>
      <c r="H45" s="13"/>
      <c r="I45" s="18"/>
      <c r="J45" s="13"/>
      <c r="K45" s="18"/>
      <c r="L45" s="18"/>
    </row>
    <row r="46" ht="29" customHeight="1" spans="1:12" s="13" customFormat="1" x14ac:dyDescent="0.25">
      <c r="A46" s="20" t="s">
        <v>996</v>
      </c>
      <c r="B46" s="440"/>
      <c r="C46" s="41" t="s">
        <v>141</v>
      </c>
      <c r="D46" s="18"/>
      <c r="E46" s="18"/>
      <c r="F46" s="18"/>
      <c r="G46" s="18"/>
      <c r="H46" s="13"/>
      <c r="I46" s="18"/>
      <c r="J46" s="13"/>
      <c r="K46" s="18"/>
      <c r="L46" s="18"/>
    </row>
    <row r="47" ht="29" customHeight="1" spans="1:12" s="13" customFormat="1" x14ac:dyDescent="0.25">
      <c r="A47" s="20" t="s">
        <v>844</v>
      </c>
      <c r="B47" s="440"/>
      <c r="C47" s="41" t="s">
        <v>144</v>
      </c>
      <c r="D47" s="18"/>
      <c r="E47" s="18"/>
      <c r="F47" s="18"/>
      <c r="G47" s="18"/>
      <c r="H47" s="13"/>
      <c r="I47" s="18"/>
      <c r="J47" s="13"/>
      <c r="K47" s="18"/>
      <c r="L47" s="18"/>
    </row>
    <row r="48" ht="29" customHeight="1" spans="1:12" s="13" customFormat="1" x14ac:dyDescent="0.25">
      <c r="A48" s="20" t="s">
        <v>997</v>
      </c>
      <c r="B48" s="440"/>
      <c r="C48" s="41" t="s">
        <v>169</v>
      </c>
      <c r="D48" s="18"/>
      <c r="E48" s="18"/>
      <c r="F48" s="18"/>
      <c r="G48" s="18"/>
      <c r="H48" s="13"/>
      <c r="I48" s="18"/>
      <c r="J48" s="13"/>
      <c r="K48" s="18"/>
      <c r="L48" s="18"/>
    </row>
    <row r="49" ht="29" customHeight="1" spans="1:12" s="13" customFormat="1" x14ac:dyDescent="0.25">
      <c r="A49" s="20" t="s">
        <v>861</v>
      </c>
      <c r="B49" s="440"/>
      <c r="C49" s="41" t="s">
        <v>148</v>
      </c>
      <c r="D49" s="18"/>
      <c r="E49" s="18"/>
      <c r="F49" s="18"/>
      <c r="G49" s="18"/>
      <c r="H49" s="13"/>
      <c r="I49" s="18"/>
      <c r="J49" s="13"/>
      <c r="K49" s="18"/>
      <c r="L49" s="18"/>
    </row>
    <row r="50" ht="29" customHeight="1" spans="1:12" s="13" customFormat="1" x14ac:dyDescent="0.25">
      <c r="A50" s="20" t="s">
        <v>835</v>
      </c>
      <c r="B50" s="440"/>
      <c r="C50" s="41" t="s">
        <v>151</v>
      </c>
      <c r="D50" s="18"/>
      <c r="E50" s="18"/>
      <c r="F50" s="18"/>
      <c r="G50" s="18"/>
      <c r="H50" s="13"/>
      <c r="I50" s="18"/>
      <c r="J50" s="13"/>
      <c r="K50" s="18"/>
      <c r="L50" s="18"/>
    </row>
    <row r="51" ht="29" customHeight="1" spans="1:12" s="13" customFormat="1" x14ac:dyDescent="0.25">
      <c r="A51" s="20" t="s">
        <v>998</v>
      </c>
      <c r="B51" s="440"/>
      <c r="C51" s="41" t="s">
        <v>172</v>
      </c>
      <c r="D51" s="18"/>
      <c r="E51" s="18"/>
      <c r="F51" s="18"/>
      <c r="G51" s="18"/>
      <c r="H51" s="13"/>
      <c r="I51" s="18"/>
      <c r="J51" s="13"/>
      <c r="K51" s="18"/>
      <c r="L51" s="18"/>
    </row>
    <row r="52" ht="29" customHeight="1" spans="1:12" s="13" customFormat="1" x14ac:dyDescent="0.25">
      <c r="A52" s="20" t="s">
        <v>845</v>
      </c>
      <c r="B52" s="440"/>
      <c r="C52" s="41" t="s">
        <v>174</v>
      </c>
      <c r="D52" s="18"/>
      <c r="E52" s="18"/>
      <c r="F52" s="18"/>
      <c r="G52" s="18"/>
      <c r="H52" s="13"/>
      <c r="I52" s="18"/>
      <c r="J52" s="13"/>
      <c r="K52" s="18"/>
      <c r="L52" s="18"/>
    </row>
    <row r="53" ht="29" customHeight="1" spans="1:12" s="13" customFormat="1" x14ac:dyDescent="0.25">
      <c r="A53" s="20" t="s">
        <v>999</v>
      </c>
      <c r="B53" s="440"/>
      <c r="C53" s="41" t="s">
        <v>175</v>
      </c>
      <c r="D53" s="18"/>
      <c r="E53" s="18"/>
      <c r="F53" s="18"/>
      <c r="G53" s="18"/>
      <c r="H53" s="13"/>
      <c r="I53" s="18"/>
      <c r="J53" s="13"/>
      <c r="K53" s="18"/>
      <c r="L53" s="18"/>
    </row>
    <row r="54" ht="29" customHeight="1" spans="1:12" s="13" customFormat="1" x14ac:dyDescent="0.25">
      <c r="A54" s="20" t="s">
        <v>1000</v>
      </c>
      <c r="B54" s="440"/>
      <c r="C54" s="41" t="s">
        <v>176</v>
      </c>
      <c r="D54" s="18"/>
      <c r="E54" s="18"/>
      <c r="F54" s="18"/>
      <c r="G54" s="18"/>
      <c r="H54" s="13"/>
      <c r="I54" s="18"/>
      <c r="J54" s="13"/>
      <c r="K54" s="18"/>
      <c r="L54" s="18"/>
    </row>
    <row r="55" ht="29" customHeight="1" spans="1:12" s="13" customFormat="1" x14ac:dyDescent="0.25">
      <c r="A55" s="20" t="s">
        <v>1001</v>
      </c>
      <c r="B55" s="440"/>
      <c r="C55" s="41" t="s">
        <v>178</v>
      </c>
      <c r="D55" s="18"/>
      <c r="E55" s="18"/>
      <c r="F55" s="18"/>
      <c r="G55" s="18"/>
      <c r="H55" s="13"/>
      <c r="I55" s="18"/>
      <c r="J55" s="13"/>
      <c r="K55" s="18"/>
      <c r="L55" s="18"/>
    </row>
    <row r="56" ht="29" customHeight="1" spans="1:12" s="13" customFormat="1" x14ac:dyDescent="0.25">
      <c r="A56" s="20" t="s">
        <v>1002</v>
      </c>
      <c r="B56" s="440"/>
      <c r="C56" s="41" t="s">
        <v>180</v>
      </c>
      <c r="D56" s="18"/>
      <c r="E56" s="18"/>
      <c r="F56" s="18"/>
      <c r="G56" s="18"/>
      <c r="H56" s="13"/>
      <c r="I56" s="18"/>
      <c r="J56" s="13"/>
      <c r="K56" s="18"/>
      <c r="L56" s="18"/>
    </row>
    <row r="57" ht="29" customHeight="1" spans="1:12" s="13" customFormat="1" x14ac:dyDescent="0.25">
      <c r="A57" s="20" t="s">
        <v>1003</v>
      </c>
      <c r="B57" s="440"/>
      <c r="C57" s="20" t="s">
        <v>181</v>
      </c>
      <c r="D57" s="18"/>
      <c r="E57" s="18"/>
      <c r="F57" s="18"/>
      <c r="G57" s="18"/>
      <c r="H57" s="13"/>
      <c r="I57" s="18"/>
      <c r="J57" s="13"/>
      <c r="K57" s="18"/>
      <c r="L57" s="18"/>
    </row>
    <row r="58" ht="29" customHeight="1" spans="1:12" s="13" customFormat="1" x14ac:dyDescent="0.25">
      <c r="A58" s="20" t="s">
        <v>1004</v>
      </c>
      <c r="B58" s="440"/>
      <c r="C58" s="20" t="s">
        <v>156</v>
      </c>
      <c r="D58" s="18"/>
      <c r="E58" s="18"/>
      <c r="F58" s="18"/>
      <c r="G58" s="18"/>
      <c r="H58" s="13"/>
      <c r="I58" s="18"/>
      <c r="J58" s="13"/>
      <c r="K58" s="18"/>
      <c r="L58" s="18"/>
    </row>
    <row r="59" ht="29" customHeight="1" spans="1:12" s="13" customFormat="1" x14ac:dyDescent="0.25">
      <c r="A59" s="20" t="s">
        <v>1005</v>
      </c>
      <c r="B59" s="440"/>
      <c r="C59" s="20" t="s">
        <v>182</v>
      </c>
      <c r="D59" s="18"/>
      <c r="E59" s="18"/>
      <c r="F59" s="18"/>
      <c r="G59" s="18"/>
      <c r="H59" s="13"/>
      <c r="I59" s="18"/>
      <c r="J59" s="13"/>
      <c r="K59" s="18"/>
      <c r="L59" s="18"/>
    </row>
    <row r="60" ht="29" customHeight="1" spans="1:12" s="13" customFormat="1" x14ac:dyDescent="0.25">
      <c r="A60" s="20" t="s">
        <v>1006</v>
      </c>
      <c r="B60" s="440"/>
      <c r="C60" s="20" t="s">
        <v>183</v>
      </c>
      <c r="D60" s="18"/>
      <c r="E60" s="18"/>
      <c r="F60" s="18"/>
      <c r="G60" s="18"/>
      <c r="H60" s="13"/>
      <c r="I60" s="18"/>
      <c r="J60" s="13"/>
      <c r="K60" s="18"/>
      <c r="L60" s="18"/>
    </row>
    <row r="61" ht="29" customHeight="1" spans="1:12" s="13" customFormat="1" x14ac:dyDescent="0.25">
      <c r="A61" s="20" t="s">
        <v>830</v>
      </c>
      <c r="B61" s="440"/>
      <c r="C61" s="20" t="s">
        <v>185</v>
      </c>
      <c r="D61" s="18"/>
      <c r="E61" s="18"/>
      <c r="F61" s="18"/>
      <c r="G61" s="18"/>
      <c r="H61" s="13"/>
      <c r="I61" s="18"/>
      <c r="J61" s="13"/>
      <c r="K61" s="18"/>
      <c r="L61" s="18"/>
    </row>
    <row r="62" ht="29" customHeight="1" spans="1:12" s="13" customFormat="1" x14ac:dyDescent="0.25">
      <c r="A62" s="20" t="s">
        <v>822</v>
      </c>
      <c r="B62" s="440"/>
      <c r="C62" s="20" t="s">
        <v>186</v>
      </c>
      <c r="D62" s="18"/>
      <c r="E62" s="18"/>
      <c r="F62" s="18"/>
      <c r="G62" s="18"/>
      <c r="H62" s="13"/>
      <c r="I62" s="18"/>
      <c r="J62" s="13"/>
      <c r="K62" s="18"/>
      <c r="L62" s="18"/>
    </row>
    <row r="63" ht="29" customHeight="1" spans="1:12" s="13" customFormat="1" x14ac:dyDescent="0.25">
      <c r="A63" s="20" t="s">
        <v>1007</v>
      </c>
      <c r="B63" s="440"/>
      <c r="C63" s="20" t="s">
        <v>187</v>
      </c>
      <c r="D63" s="18"/>
      <c r="E63" s="18"/>
      <c r="F63" s="18"/>
      <c r="G63" s="18"/>
      <c r="H63" s="13"/>
      <c r="I63" s="18"/>
      <c r="J63" s="13"/>
      <c r="K63" s="18"/>
      <c r="L63" s="18"/>
    </row>
    <row r="64" ht="29" customHeight="1" spans="1:12" s="13" customFormat="1" x14ac:dyDescent="0.25">
      <c r="A64" s="20" t="s">
        <v>1008</v>
      </c>
      <c r="B64" s="440"/>
      <c r="C64" s="20" t="s">
        <v>188</v>
      </c>
      <c r="D64" s="18"/>
      <c r="E64" s="18"/>
      <c r="F64" s="18"/>
      <c r="G64" s="18"/>
      <c r="H64" s="13"/>
      <c r="I64" s="18"/>
      <c r="J64" s="13"/>
      <c r="K64" s="18"/>
      <c r="L64" s="18"/>
    </row>
    <row r="65" ht="29" customHeight="1" spans="1:12" s="13" customFormat="1" x14ac:dyDescent="0.25">
      <c r="A65" s="20" t="s">
        <v>1009</v>
      </c>
      <c r="B65" s="440"/>
      <c r="C65" s="20" t="s">
        <v>162</v>
      </c>
      <c r="D65" s="18"/>
      <c r="E65" s="18"/>
      <c r="F65" s="18"/>
      <c r="G65" s="18"/>
      <c r="H65" s="13"/>
      <c r="I65" s="18"/>
      <c r="J65" s="13"/>
      <c r="K65" s="18"/>
      <c r="L65" s="18"/>
    </row>
    <row r="66" ht="29" customHeight="1" spans="1:12" s="13" customFormat="1" x14ac:dyDescent="0.25">
      <c r="A66" s="20" t="s">
        <v>1010</v>
      </c>
      <c r="B66" s="440"/>
      <c r="C66" s="20" t="s">
        <v>189</v>
      </c>
      <c r="D66" s="18"/>
      <c r="E66" s="18"/>
      <c r="F66" s="18"/>
      <c r="G66" s="18"/>
      <c r="H66" s="13"/>
      <c r="I66" s="18"/>
      <c r="J66" s="13"/>
      <c r="K66" s="18"/>
      <c r="L66" s="18"/>
    </row>
    <row r="67" ht="29" customHeight="1" spans="1:12" s="13" customFormat="1" x14ac:dyDescent="0.25">
      <c r="A67" s="20" t="s">
        <v>1011</v>
      </c>
      <c r="B67" s="440"/>
      <c r="C67" s="20" t="s">
        <v>190</v>
      </c>
      <c r="D67" s="18"/>
      <c r="E67" s="18"/>
      <c r="F67" s="18"/>
      <c r="G67" s="18"/>
      <c r="H67" s="13"/>
      <c r="I67" s="18"/>
      <c r="J67" s="13"/>
      <c r="K67" s="18"/>
      <c r="L67" s="18"/>
    </row>
    <row r="68" ht="29" customHeight="1" spans="1:12" s="13" customFormat="1" x14ac:dyDescent="0.25">
      <c r="A68" s="20" t="s">
        <v>847</v>
      </c>
      <c r="B68" s="440"/>
      <c r="C68" s="41" t="s">
        <v>191</v>
      </c>
      <c r="D68" s="18"/>
      <c r="E68" s="18"/>
      <c r="F68" s="18"/>
      <c r="G68" s="18"/>
      <c r="H68" s="13"/>
      <c r="I68" s="18"/>
      <c r="J68" s="13"/>
      <c r="K68" s="18"/>
      <c r="L68" s="18"/>
    </row>
    <row r="69" ht="29" customHeight="1" spans="1:12" s="13" customFormat="1" x14ac:dyDescent="0.25">
      <c r="A69" s="20" t="s">
        <v>1012</v>
      </c>
      <c r="B69" s="440"/>
      <c r="C69" s="20" t="s">
        <v>193</v>
      </c>
      <c r="D69" s="18"/>
      <c r="E69" s="18"/>
      <c r="F69" s="18"/>
      <c r="G69" s="18"/>
      <c r="H69" s="13"/>
      <c r="I69" s="18"/>
      <c r="J69" s="13"/>
      <c r="K69" s="18"/>
      <c r="L69" s="18"/>
    </row>
    <row r="70" ht="29" customHeight="1" spans="1:12" s="13" customFormat="1" x14ac:dyDescent="0.25">
      <c r="A70" s="20" t="s">
        <v>1013</v>
      </c>
      <c r="B70" s="440"/>
      <c r="C70" s="20" t="s">
        <v>167</v>
      </c>
      <c r="D70" s="18"/>
      <c r="E70" s="18"/>
      <c r="F70" s="18"/>
      <c r="G70" s="18"/>
      <c r="H70" s="13"/>
      <c r="I70" s="18"/>
      <c r="J70" s="13"/>
      <c r="K70" s="18"/>
      <c r="L70" s="18"/>
    </row>
    <row r="71" ht="29" customHeight="1" spans="1:12" s="13" customFormat="1" x14ac:dyDescent="0.25">
      <c r="A71" s="20" t="s">
        <v>1014</v>
      </c>
      <c r="B71" s="440"/>
      <c r="C71" s="20"/>
      <c r="D71" s="18"/>
      <c r="E71" s="18"/>
      <c r="F71" s="18"/>
      <c r="G71" s="18"/>
      <c r="H71" s="13"/>
      <c r="I71" s="18"/>
      <c r="J71" s="13"/>
      <c r="K71" s="18"/>
      <c r="L71" s="18"/>
    </row>
    <row r="72" ht="29" customHeight="1" spans="1:12" s="13" customFormat="1" x14ac:dyDescent="0.25">
      <c r="A72" s="20" t="s">
        <v>1015</v>
      </c>
      <c r="B72" s="440"/>
      <c r="C72" s="20"/>
      <c r="D72" s="18"/>
      <c r="E72" s="18"/>
      <c r="F72" s="18"/>
      <c r="G72" s="18"/>
      <c r="H72" s="13"/>
      <c r="I72" s="18"/>
      <c r="J72" s="13"/>
      <c r="K72" s="18"/>
      <c r="L72" s="18"/>
    </row>
    <row r="73" ht="29" customHeight="1" spans="1:12" s="13" customFormat="1" x14ac:dyDescent="0.25">
      <c r="A73" s="20" t="s">
        <v>837</v>
      </c>
      <c r="B73" s="440"/>
      <c r="C73" s="20"/>
      <c r="D73" s="18"/>
      <c r="E73" s="18"/>
      <c r="F73" s="18"/>
      <c r="G73" s="18"/>
      <c r="H73" s="13"/>
      <c r="I73" s="18"/>
      <c r="J73" s="13"/>
      <c r="K73" s="18"/>
      <c r="L73" s="18"/>
    </row>
    <row r="74" ht="29" customHeight="1" spans="1:12" s="13" customFormat="1" x14ac:dyDescent="0.25">
      <c r="A74" s="20" t="s">
        <v>846</v>
      </c>
      <c r="B74" s="440"/>
      <c r="C74" s="20"/>
      <c r="D74" s="18"/>
      <c r="E74" s="18"/>
      <c r="F74" s="18"/>
      <c r="G74" s="13"/>
      <c r="H74" s="13"/>
      <c r="I74" s="18"/>
      <c r="J74" s="13"/>
      <c r="K74" s="18"/>
      <c r="L74" s="18"/>
    </row>
    <row r="75" ht="29" customHeight="1" spans="1:12" s="13" customFormat="1" x14ac:dyDescent="0.25">
      <c r="A75" s="20" t="s">
        <v>1016</v>
      </c>
      <c r="B75" s="440"/>
      <c r="C75" s="20"/>
      <c r="D75" s="18"/>
      <c r="E75" s="18"/>
      <c r="F75" s="18"/>
      <c r="G75" s="13"/>
      <c r="H75" s="13"/>
      <c r="I75" s="18"/>
      <c r="J75" s="13"/>
      <c r="K75" s="18"/>
      <c r="L75" s="18"/>
    </row>
    <row r="76" spans="1:12" x14ac:dyDescent="0.25">
      <c r="A76" s="1"/>
      <c r="C76" s="1"/>
      <c r="I76" s="13"/>
      <c r="K76" s="13"/>
      <c r="L76" s="13"/>
    </row>
  </sheetData>
  <printOptions verticalCentered="1"/>
  <pageMargins left="0.25" right="0.25" top="0.75" bottom="0.75" header="0.3" footer="0.3"/>
  <pageSetup paperSize="9" orientation="portrait" horizontalDpi="0" verticalDpi="0" scale="26" fitToWidth="1" fitToHeight="1" firstPageNumber="1" useFirstPageNumber="1" copies="1"/>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zoomScale="130" zoomScaleNormal="130">
      <selection activeCell="A45" sqref="A45"/>
    </sheetView>
  </sheetViews>
  <sheetFormatPr defaultRowHeight="16" outlineLevelRow="0" outlineLevelCol="0" x14ac:dyDescent="0" defaultColWidth="10.83203125" customHeight="1"/>
  <cols>
    <col min="1" max="1" width="41.83203125" style="197" customWidth="1"/>
    <col min="2" max="16384" width="10.83203125" style="197" customWidth="1"/>
  </cols>
  <sheetData>
    <row r="1" ht="34" customHeight="1" spans="1:1" x14ac:dyDescent="0.25">
      <c r="A1" s="60" t="s">
        <v>966</v>
      </c>
    </row>
    <row r="2" ht="19" customHeight="1" spans="1:7" x14ac:dyDescent="0.25">
      <c r="A2" s="60">
        <f>COUNTA(A4:A76)</f>
        <v>73</v>
      </c>
      <c r="B2" s="197"/>
      <c r="C2" s="197"/>
      <c r="D2" s="197"/>
      <c r="E2" s="435" t="s">
        <v>967</v>
      </c>
      <c r="F2" s="436"/>
      <c r="G2" s="436"/>
    </row>
  </sheetData>
  <pageMargins left="0.7" right="0.7" top="0.75" bottom="0.75" header="0.3" footer="0.3"/>
  <pageSetup paperSize="9" orientation="portrait" horizontalDpi="0" verticalDpi="0"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2"/>
  <sheetViews>
    <sheetView workbookViewId="0" zoomScale="100" zoomScaleNormal="100">
      <selection activeCell="O12" sqref="O12"/>
    </sheetView>
  </sheetViews>
  <sheetFormatPr defaultRowHeight="16" outlineLevelRow="0" outlineLevelCol="0" x14ac:dyDescent="0" defaultColWidth="10.83203125" customHeight="1"/>
  <cols>
    <col min="1" max="1" width="40.6640625" style="197" customWidth="1"/>
    <col min="2" max="2" width="51" style="197" customWidth="1"/>
    <col min="3" max="3" width="28.5" style="197" customWidth="1"/>
    <col min="4" max="5" width="7.33203125" style="197" customWidth="1"/>
    <col min="6" max="7" width="17.33203125" style="197" customWidth="1"/>
    <col min="8" max="8" width="17.1640625" style="197" customWidth="1"/>
    <col min="9" max="11" width="16.6640625" style="197" customWidth="1"/>
    <col min="12" max="12" width="55.83203125" style="197" customWidth="1"/>
    <col min="13" max="13" width="9.1640625" style="197" customWidth="1"/>
    <col min="14" max="14" width="25.6640625" style="197" customWidth="1"/>
    <col min="15" max="16384" width="10.83203125" style="197" customWidth="1"/>
  </cols>
  <sheetData>
    <row r="1" ht="55" customHeight="1" spans="1:12" s="273" customFormat="1" x14ac:dyDescent="0.25">
      <c r="A1" s="274" t="s">
        <v>798</v>
      </c>
      <c r="B1" s="275"/>
      <c r="C1" s="276"/>
      <c r="D1" s="274"/>
      <c r="E1" s="276"/>
      <c r="F1" s="277">
        <f>SUM(F2:K2)</f>
        <v>36</v>
      </c>
      <c r="G1" s="278"/>
      <c r="H1" s="278"/>
      <c r="I1" s="278"/>
      <c r="J1" s="278"/>
      <c r="K1" s="278"/>
      <c r="L1" s="279"/>
    </row>
    <row r="2" ht="23" customHeight="1" spans="1:14" s="65" customFormat="1" x14ac:dyDescent="0.25">
      <c r="A2" s="280">
        <f>COUNTA(A8:A41)</f>
        <v>34</v>
      </c>
      <c r="B2" s="280">
        <f>COUNTA(B6:B41)</f>
        <v>36</v>
      </c>
      <c r="C2" s="280">
        <f>COUNTA(C8:C71)</f>
        <v>34</v>
      </c>
      <c r="D2" s="280">
        <f>COUNTA(D8:D71)</f>
        <v>0</v>
      </c>
      <c r="E2" s="280">
        <f>COUNTA(E8:E71)</f>
        <v>0</v>
      </c>
      <c r="F2" s="280">
        <f>COUNTA(F4:F71)</f>
        <v>2</v>
      </c>
      <c r="G2" s="280">
        <f>COUNTA(G4:G71)</f>
        <v>2</v>
      </c>
      <c r="H2" s="280">
        <f>COUNTA(H8:H71)</f>
        <v>3</v>
      </c>
      <c r="I2" s="280">
        <f t="shared" ref="I2:L2" si="0">COUNTA(I8:I71)</f>
        <v>6</v>
      </c>
      <c r="J2" s="280">
        <f t="shared" si="0"/>
        <v>8</v>
      </c>
      <c r="K2" s="280">
        <f t="shared" si="0"/>
        <v>15</v>
      </c>
      <c r="L2" s="280">
        <f t="shared" si="0"/>
        <v>5</v>
      </c>
      <c r="M2" s="65"/>
      <c r="N2" s="281" t="s">
        <v>799</v>
      </c>
    </row>
    <row r="3" ht="30" customHeight="1" spans="1:13" x14ac:dyDescent="0.25">
      <c r="A3" s="64" t="s">
        <v>800</v>
      </c>
      <c r="B3" s="282" t="s">
        <v>801</v>
      </c>
      <c r="C3" s="282" t="s">
        <v>802</v>
      </c>
      <c r="D3" s="280" t="s">
        <v>803</v>
      </c>
      <c r="E3" s="282" t="s">
        <v>804</v>
      </c>
      <c r="F3" s="282">
        <v>2026</v>
      </c>
      <c r="G3" s="282">
        <v>2025</v>
      </c>
      <c r="H3" s="282">
        <v>2024</v>
      </c>
      <c r="I3" s="282">
        <v>2023</v>
      </c>
      <c r="J3" s="282">
        <v>2022</v>
      </c>
      <c r="K3" s="282">
        <v>2021</v>
      </c>
      <c r="L3" s="60" t="s">
        <v>805</v>
      </c>
      <c r="M3" s="283"/>
    </row>
    <row r="4" ht="42" customHeight="1" spans="1:13" x14ac:dyDescent="0.25">
      <c r="A4" s="284" t="s">
        <v>684</v>
      </c>
      <c r="B4" s="284" t="s">
        <v>806</v>
      </c>
      <c r="C4" s="284" t="s">
        <v>807</v>
      </c>
      <c r="D4" s="285"/>
      <c r="E4" s="286"/>
      <c r="F4" s="287" t="s">
        <v>424</v>
      </c>
      <c r="G4" s="287"/>
      <c r="H4" s="288"/>
      <c r="I4" s="288"/>
      <c r="J4" s="288"/>
      <c r="K4" s="288"/>
      <c r="L4" s="289"/>
      <c r="M4" s="283"/>
    </row>
    <row r="5" ht="42" customHeight="1" spans="1:13" x14ac:dyDescent="0.25">
      <c r="A5" s="284" t="s">
        <v>677</v>
      </c>
      <c r="B5" s="284" t="s">
        <v>145</v>
      </c>
      <c r="C5" s="284" t="s">
        <v>808</v>
      </c>
      <c r="D5" s="285"/>
      <c r="E5" s="286"/>
      <c r="F5" s="287" t="s">
        <v>424</v>
      </c>
      <c r="G5" s="287"/>
      <c r="H5" s="288"/>
      <c r="I5" s="288"/>
      <c r="J5" s="288"/>
      <c r="K5" s="288"/>
      <c r="L5" s="289"/>
      <c r="M5" s="283"/>
    </row>
    <row r="6" ht="42" customHeight="1" spans="1:13" x14ac:dyDescent="0.25">
      <c r="A6" s="284" t="s">
        <v>678</v>
      </c>
      <c r="B6" s="284" t="s">
        <v>809</v>
      </c>
      <c r="C6" s="284" t="s">
        <v>810</v>
      </c>
      <c r="D6" s="290"/>
      <c r="E6" s="286"/>
      <c r="F6" s="287"/>
      <c r="G6" s="287" t="s">
        <v>424</v>
      </c>
      <c r="H6" s="288"/>
      <c r="I6" s="288"/>
      <c r="J6" s="288"/>
      <c r="K6" s="288"/>
      <c r="L6" s="289"/>
      <c r="M6" s="283"/>
    </row>
    <row r="7" ht="30" customHeight="1" spans="1:13" x14ac:dyDescent="0.25">
      <c r="A7" s="284" t="s">
        <v>680</v>
      </c>
      <c r="B7" s="284" t="s">
        <v>98</v>
      </c>
      <c r="C7" s="284" t="s">
        <v>811</v>
      </c>
      <c r="D7" s="291"/>
      <c r="E7" s="287"/>
      <c r="F7" s="287"/>
      <c r="G7" s="287" t="s">
        <v>424</v>
      </c>
      <c r="H7" s="288"/>
      <c r="I7" s="288"/>
      <c r="J7" s="288"/>
      <c r="K7" s="288"/>
      <c r="L7" s="289"/>
      <c r="M7" s="283"/>
    </row>
    <row r="8" ht="30" customHeight="1" spans="1:12" x14ac:dyDescent="0.25">
      <c r="A8" s="284" t="s">
        <v>812</v>
      </c>
      <c r="B8" s="284" t="s">
        <v>813</v>
      </c>
      <c r="C8" s="284" t="s">
        <v>814</v>
      </c>
      <c r="D8" s="291"/>
      <c r="E8" s="287"/>
      <c r="F8" s="287"/>
      <c r="G8" s="287"/>
      <c r="H8" s="288" t="s">
        <v>424</v>
      </c>
      <c r="I8" s="288"/>
      <c r="J8" s="288"/>
      <c r="K8" s="288"/>
      <c r="L8" s="289"/>
    </row>
    <row r="9" ht="30" customHeight="1" spans="1:12" x14ac:dyDescent="0.25">
      <c r="A9" s="284" t="s">
        <v>815</v>
      </c>
      <c r="B9" s="284" t="s">
        <v>165</v>
      </c>
      <c r="C9" s="284" t="s">
        <v>816</v>
      </c>
      <c r="D9" s="291"/>
      <c r="E9" s="287"/>
      <c r="F9" s="287"/>
      <c r="G9" s="287"/>
      <c r="H9" s="288" t="s">
        <v>424</v>
      </c>
      <c r="I9" s="288"/>
      <c r="J9" s="288"/>
      <c r="K9" s="288"/>
      <c r="L9" s="289"/>
    </row>
    <row r="10" ht="30" customHeight="1" spans="1:12" x14ac:dyDescent="0.25">
      <c r="A10" s="284" t="s">
        <v>815</v>
      </c>
      <c r="B10" s="284" t="s">
        <v>10</v>
      </c>
      <c r="C10" s="284" t="s">
        <v>817</v>
      </c>
      <c r="D10" s="291"/>
      <c r="E10" s="287"/>
      <c r="F10" s="287"/>
      <c r="G10" s="287"/>
      <c r="H10" s="288" t="s">
        <v>2</v>
      </c>
      <c r="I10" s="288"/>
      <c r="J10" s="288"/>
      <c r="K10" s="288"/>
      <c r="L10" s="289"/>
    </row>
    <row r="11" ht="30" customHeight="1" spans="1:12" x14ac:dyDescent="0.25">
      <c r="A11" s="284" t="s">
        <v>682</v>
      </c>
      <c r="B11" s="292" t="s">
        <v>113</v>
      </c>
      <c r="C11" s="292" t="s">
        <v>818</v>
      </c>
      <c r="D11" s="292"/>
      <c r="E11" s="293"/>
      <c r="F11" s="293"/>
      <c r="G11" s="293"/>
      <c r="H11" s="292"/>
      <c r="I11" s="294" t="s">
        <v>424</v>
      </c>
      <c r="J11" s="294"/>
      <c r="K11" s="294"/>
      <c r="L11" s="289"/>
    </row>
    <row r="12" ht="30" customHeight="1" spans="1:12" x14ac:dyDescent="0.25">
      <c r="A12" s="284" t="s">
        <v>815</v>
      </c>
      <c r="B12" s="292" t="s">
        <v>76</v>
      </c>
      <c r="C12" s="292" t="s">
        <v>819</v>
      </c>
      <c r="D12" s="291"/>
      <c r="E12" s="287"/>
      <c r="F12" s="287"/>
      <c r="G12" s="287"/>
      <c r="H12" s="292"/>
      <c r="I12" s="294" t="s">
        <v>424</v>
      </c>
      <c r="J12" s="294"/>
      <c r="K12" s="294"/>
      <c r="L12" s="289"/>
    </row>
    <row r="13" ht="30" customHeight="1" spans="1:12" x14ac:dyDescent="0.25">
      <c r="A13" s="295" t="s">
        <v>676</v>
      </c>
      <c r="B13" s="295" t="s">
        <v>135</v>
      </c>
      <c r="C13" s="295" t="s">
        <v>820</v>
      </c>
      <c r="D13" s="296"/>
      <c r="E13" s="297"/>
      <c r="F13" s="297"/>
      <c r="G13" s="297"/>
      <c r="H13" s="295"/>
      <c r="I13" s="298"/>
      <c r="J13" s="298"/>
      <c r="K13" s="298"/>
      <c r="L13" s="299" t="s">
        <v>821</v>
      </c>
    </row>
    <row r="14" ht="30" customHeight="1" spans="1:12" x14ac:dyDescent="0.25">
      <c r="A14" s="284" t="s">
        <v>683</v>
      </c>
      <c r="B14" s="292" t="s">
        <v>82</v>
      </c>
      <c r="C14" s="292" t="s">
        <v>822</v>
      </c>
      <c r="D14" s="291"/>
      <c r="E14" s="287"/>
      <c r="F14" s="287"/>
      <c r="G14" s="287"/>
      <c r="H14" s="292"/>
      <c r="I14" s="294" t="s">
        <v>424</v>
      </c>
      <c r="J14" s="294"/>
      <c r="K14" s="294"/>
      <c r="L14" s="289"/>
    </row>
    <row r="15" ht="30" customHeight="1" spans="1:12" x14ac:dyDescent="0.25">
      <c r="A15" s="284" t="s">
        <v>823</v>
      </c>
      <c r="B15" s="292" t="s">
        <v>129</v>
      </c>
      <c r="C15" s="292" t="s">
        <v>824</v>
      </c>
      <c r="D15" s="291"/>
      <c r="E15" s="287"/>
      <c r="F15" s="287"/>
      <c r="G15" s="287"/>
      <c r="H15" s="292"/>
      <c r="I15" s="294" t="s">
        <v>424</v>
      </c>
      <c r="J15" s="294"/>
      <c r="K15" s="294"/>
      <c r="L15" s="289"/>
    </row>
    <row r="16" ht="30" customHeight="1" spans="1:12" x14ac:dyDescent="0.25">
      <c r="A16" s="284" t="s">
        <v>823</v>
      </c>
      <c r="B16" s="292" t="s">
        <v>18</v>
      </c>
      <c r="C16" s="292" t="s">
        <v>825</v>
      </c>
      <c r="D16" s="291"/>
      <c r="E16" s="287"/>
      <c r="F16" s="287"/>
      <c r="G16" s="287"/>
      <c r="H16" s="292"/>
      <c r="I16" s="294"/>
      <c r="J16" s="294"/>
      <c r="K16" s="294" t="s">
        <v>424</v>
      </c>
      <c r="L16" s="289"/>
    </row>
    <row r="17" ht="30" customHeight="1" spans="1:12" x14ac:dyDescent="0.25">
      <c r="A17" s="284" t="s">
        <v>823</v>
      </c>
      <c r="B17" s="300" t="s">
        <v>88</v>
      </c>
      <c r="C17" s="292" t="s">
        <v>826</v>
      </c>
      <c r="D17" s="291"/>
      <c r="E17" s="287"/>
      <c r="F17" s="287"/>
      <c r="G17" s="287"/>
      <c r="H17" s="292"/>
      <c r="I17" s="294"/>
      <c r="J17" s="294" t="s">
        <v>424</v>
      </c>
      <c r="K17" s="294"/>
      <c r="L17" s="301"/>
    </row>
    <row r="18" ht="30" customHeight="1" spans="1:12" x14ac:dyDescent="0.25">
      <c r="A18" s="284" t="s">
        <v>827</v>
      </c>
      <c r="B18" s="292" t="s">
        <v>56</v>
      </c>
      <c r="C18" s="292" t="s">
        <v>828</v>
      </c>
      <c r="D18" s="291"/>
      <c r="E18" s="287"/>
      <c r="F18" s="287"/>
      <c r="G18" s="287"/>
      <c r="H18" s="292"/>
      <c r="I18" s="294"/>
      <c r="J18" s="294"/>
      <c r="K18" s="294" t="s">
        <v>424</v>
      </c>
      <c r="L18" s="302" t="s">
        <v>829</v>
      </c>
    </row>
    <row r="19" ht="30" customHeight="1" spans="1:12" x14ac:dyDescent="0.25">
      <c r="A19" s="284" t="s">
        <v>676</v>
      </c>
      <c r="B19" s="292" t="s">
        <v>108</v>
      </c>
      <c r="C19" s="292" t="s">
        <v>830</v>
      </c>
      <c r="D19" s="291"/>
      <c r="E19" s="287"/>
      <c r="F19" s="287"/>
      <c r="G19" s="287"/>
      <c r="H19" s="292"/>
      <c r="I19" s="294"/>
      <c r="J19" s="294"/>
      <c r="K19" s="294" t="s">
        <v>424</v>
      </c>
      <c r="L19" s="301"/>
    </row>
    <row r="20" ht="30" customHeight="1" spans="1:12" x14ac:dyDescent="0.25">
      <c r="A20" s="295" t="s">
        <v>677</v>
      </c>
      <c r="B20" s="295" t="s">
        <v>160</v>
      </c>
      <c r="C20" s="295" t="s">
        <v>831</v>
      </c>
      <c r="D20" s="296"/>
      <c r="E20" s="297"/>
      <c r="F20" s="297"/>
      <c r="G20" s="297"/>
      <c r="H20" s="295"/>
      <c r="I20" s="298"/>
      <c r="J20" s="298"/>
      <c r="K20" s="298"/>
      <c r="L20" s="299" t="s">
        <v>832</v>
      </c>
    </row>
    <row r="21" ht="30" customHeight="1" spans="1:12" x14ac:dyDescent="0.25">
      <c r="A21" s="284" t="s">
        <v>677</v>
      </c>
      <c r="B21" s="292" t="s">
        <v>162</v>
      </c>
      <c r="C21" s="292" t="s">
        <v>833</v>
      </c>
      <c r="D21" s="291"/>
      <c r="E21" s="287"/>
      <c r="F21" s="287"/>
      <c r="G21" s="287"/>
      <c r="H21" s="292"/>
      <c r="I21" s="294"/>
      <c r="J21" s="294" t="s">
        <v>424</v>
      </c>
      <c r="K21" s="294"/>
      <c r="L21" s="301"/>
    </row>
    <row r="22" ht="30" customHeight="1" spans="1:12" x14ac:dyDescent="0.25">
      <c r="A22" s="284" t="s">
        <v>680</v>
      </c>
      <c r="B22" s="292" t="s">
        <v>42</v>
      </c>
      <c r="C22" s="292" t="s">
        <v>834</v>
      </c>
      <c r="D22" s="291"/>
      <c r="E22" s="287"/>
      <c r="F22" s="287"/>
      <c r="G22" s="287"/>
      <c r="H22" s="292"/>
      <c r="I22" s="294"/>
      <c r="J22" s="294" t="s">
        <v>424</v>
      </c>
      <c r="K22" s="294"/>
      <c r="L22" s="289"/>
    </row>
    <row r="23" ht="30" customHeight="1" spans="1:12" x14ac:dyDescent="0.25">
      <c r="A23" s="284" t="s">
        <v>680</v>
      </c>
      <c r="B23" s="303" t="s">
        <v>93</v>
      </c>
      <c r="C23" s="292" t="s">
        <v>835</v>
      </c>
      <c r="D23" s="291"/>
      <c r="E23" s="287"/>
      <c r="F23" s="287"/>
      <c r="G23" s="287"/>
      <c r="H23" s="292"/>
      <c r="I23" s="294"/>
      <c r="J23" s="294" t="s">
        <v>424</v>
      </c>
      <c r="K23" s="294"/>
      <c r="L23" s="301"/>
    </row>
    <row r="24" ht="30" customHeight="1" spans="1:12" x14ac:dyDescent="0.25">
      <c r="A24" s="284" t="s">
        <v>680</v>
      </c>
      <c r="B24" s="303" t="s">
        <v>156</v>
      </c>
      <c r="C24" s="292" t="s">
        <v>836</v>
      </c>
      <c r="D24" s="291"/>
      <c r="E24" s="287"/>
      <c r="F24" s="287"/>
      <c r="G24" s="287"/>
      <c r="H24" s="292"/>
      <c r="I24" s="294"/>
      <c r="J24" s="294" t="s">
        <v>424</v>
      </c>
      <c r="K24" s="294"/>
      <c r="L24" s="301"/>
    </row>
    <row r="25" ht="30" customHeight="1" spans="1:12" x14ac:dyDescent="0.25">
      <c r="A25" s="284" t="s">
        <v>681</v>
      </c>
      <c r="B25" s="303" t="s">
        <v>61</v>
      </c>
      <c r="C25" s="292" t="s">
        <v>837</v>
      </c>
      <c r="D25" s="292"/>
      <c r="E25" s="293"/>
      <c r="F25" s="292"/>
      <c r="G25" s="292"/>
      <c r="H25" s="292"/>
      <c r="I25" s="294" t="s">
        <v>424</v>
      </c>
      <c r="J25" s="294"/>
      <c r="K25" s="294"/>
      <c r="L25" s="301"/>
    </row>
    <row r="26" ht="30" customHeight="1" spans="1:12" x14ac:dyDescent="0.25">
      <c r="A26" s="284" t="s">
        <v>681</v>
      </c>
      <c r="B26" s="303" t="s">
        <v>157</v>
      </c>
      <c r="C26" s="292" t="s">
        <v>838</v>
      </c>
      <c r="D26" s="292"/>
      <c r="E26" s="292"/>
      <c r="F26" s="292"/>
      <c r="G26" s="292"/>
      <c r="H26" s="292"/>
      <c r="I26" s="294" t="s">
        <v>424</v>
      </c>
      <c r="J26" s="294"/>
      <c r="K26" s="294"/>
      <c r="L26" s="301"/>
    </row>
    <row r="27" ht="30" customHeight="1" spans="1:12" x14ac:dyDescent="0.25">
      <c r="A27" s="284" t="s">
        <v>681</v>
      </c>
      <c r="B27" s="303" t="s">
        <v>144</v>
      </c>
      <c r="C27" s="292" t="s">
        <v>839</v>
      </c>
      <c r="D27" s="293"/>
      <c r="E27" s="293"/>
      <c r="F27" s="292"/>
      <c r="G27" s="292"/>
      <c r="H27" s="292"/>
      <c r="I27" s="294"/>
      <c r="J27" s="294"/>
      <c r="K27" s="294" t="s">
        <v>424</v>
      </c>
      <c r="L27" s="301"/>
    </row>
    <row r="28" ht="30" customHeight="1" spans="1:12" x14ac:dyDescent="0.25">
      <c r="A28" s="284" t="s">
        <v>682</v>
      </c>
      <c r="B28" s="303" t="s">
        <v>71</v>
      </c>
      <c r="C28" s="292" t="s">
        <v>840</v>
      </c>
      <c r="D28" s="292"/>
      <c r="E28" s="293"/>
      <c r="F28" s="292"/>
      <c r="G28" s="292"/>
      <c r="H28" s="292"/>
      <c r="I28" s="294"/>
      <c r="J28" s="294"/>
      <c r="K28" s="294" t="s">
        <v>424</v>
      </c>
      <c r="L28" s="301"/>
    </row>
    <row r="29" ht="30" customHeight="1" spans="1:12" x14ac:dyDescent="0.25">
      <c r="A29" s="284" t="s">
        <v>841</v>
      </c>
      <c r="B29" s="303" t="s">
        <v>125</v>
      </c>
      <c r="C29" s="292" t="s">
        <v>842</v>
      </c>
      <c r="D29" s="293"/>
      <c r="E29" s="292"/>
      <c r="F29" s="292"/>
      <c r="G29" s="292"/>
      <c r="H29" s="292"/>
      <c r="I29" s="294"/>
      <c r="J29" s="294"/>
      <c r="K29" s="294" t="s">
        <v>424</v>
      </c>
      <c r="L29" s="301"/>
    </row>
    <row r="30" ht="30" customHeight="1" spans="1:12" x14ac:dyDescent="0.25">
      <c r="A30" s="284" t="s">
        <v>683</v>
      </c>
      <c r="B30" s="303" t="s">
        <v>133</v>
      </c>
      <c r="C30" s="292" t="s">
        <v>843</v>
      </c>
      <c r="D30" s="291"/>
      <c r="E30" s="287"/>
      <c r="F30" s="287"/>
      <c r="G30" s="287"/>
      <c r="H30" s="292"/>
      <c r="I30" s="294"/>
      <c r="J30" s="294"/>
      <c r="K30" s="294" t="s">
        <v>424</v>
      </c>
      <c r="L30" s="301"/>
    </row>
    <row r="31" ht="30" customHeight="1" spans="1:12" x14ac:dyDescent="0.25">
      <c r="A31" s="284" t="s">
        <v>683</v>
      </c>
      <c r="B31" s="303" t="s">
        <v>154</v>
      </c>
      <c r="C31" s="292" t="s">
        <v>843</v>
      </c>
      <c r="D31" s="291"/>
      <c r="E31" s="287"/>
      <c r="F31" s="287"/>
      <c r="G31" s="287"/>
      <c r="H31" s="292"/>
      <c r="I31" s="294"/>
      <c r="J31" s="294"/>
      <c r="K31" s="294" t="s">
        <v>424</v>
      </c>
      <c r="L31" s="301"/>
    </row>
    <row r="32" ht="30" customHeight="1" spans="1:12" x14ac:dyDescent="0.25">
      <c r="A32" s="284" t="s">
        <v>684</v>
      </c>
      <c r="B32" s="303" t="s">
        <v>66</v>
      </c>
      <c r="C32" s="292" t="s">
        <v>55</v>
      </c>
      <c r="D32" s="291"/>
      <c r="E32" s="287"/>
      <c r="F32" s="287"/>
      <c r="G32" s="287"/>
      <c r="H32" s="292"/>
      <c r="I32" s="294"/>
      <c r="J32" s="294"/>
      <c r="K32" s="294" t="s">
        <v>424</v>
      </c>
      <c r="L32" s="289"/>
    </row>
    <row r="33" ht="30" customHeight="1" spans="1:12" x14ac:dyDescent="0.25">
      <c r="A33" s="284" t="s">
        <v>684</v>
      </c>
      <c r="B33" s="292" t="s">
        <v>138</v>
      </c>
      <c r="C33" s="292" t="s">
        <v>844</v>
      </c>
      <c r="D33" s="292"/>
      <c r="E33" s="293"/>
      <c r="F33" s="292"/>
      <c r="G33" s="292"/>
      <c r="H33" s="292"/>
      <c r="I33" s="294"/>
      <c r="J33" s="294"/>
      <c r="K33" s="294" t="s">
        <v>424</v>
      </c>
      <c r="L33" s="301"/>
    </row>
    <row r="34" ht="30" customHeight="1" spans="1:12" x14ac:dyDescent="0.25">
      <c r="A34" s="284" t="s">
        <v>685</v>
      </c>
      <c r="B34" s="292" t="s">
        <v>148</v>
      </c>
      <c r="C34" s="292" t="s">
        <v>845</v>
      </c>
      <c r="D34" s="291"/>
      <c r="E34" s="287"/>
      <c r="F34" s="287"/>
      <c r="G34" s="287"/>
      <c r="H34" s="292"/>
      <c r="I34" s="294"/>
      <c r="J34" s="294"/>
      <c r="K34" s="294" t="s">
        <v>424</v>
      </c>
      <c r="L34" s="301"/>
    </row>
    <row r="35" ht="30" customHeight="1" spans="1:12" x14ac:dyDescent="0.25">
      <c r="A35" s="284" t="s">
        <v>687</v>
      </c>
      <c r="B35" s="292" t="s">
        <v>35</v>
      </c>
      <c r="C35" s="292" t="s">
        <v>846</v>
      </c>
      <c r="D35" s="291"/>
      <c r="E35" s="287"/>
      <c r="F35" s="287"/>
      <c r="G35" s="287"/>
      <c r="H35" s="292"/>
      <c r="I35" s="294"/>
      <c r="J35" s="294" t="s">
        <v>424</v>
      </c>
      <c r="K35" s="294"/>
      <c r="L35" s="289"/>
    </row>
    <row r="36" ht="30" customHeight="1" spans="1:12" x14ac:dyDescent="0.25">
      <c r="A36" s="284" t="s">
        <v>687</v>
      </c>
      <c r="B36" s="292" t="s">
        <v>141</v>
      </c>
      <c r="C36" s="292" t="s">
        <v>847</v>
      </c>
      <c r="D36" s="291"/>
      <c r="E36" s="287"/>
      <c r="F36" s="287"/>
      <c r="G36" s="287"/>
      <c r="H36" s="292"/>
      <c r="I36" s="294"/>
      <c r="J36" s="294" t="s">
        <v>424</v>
      </c>
      <c r="K36" s="294"/>
      <c r="L36" s="301"/>
    </row>
    <row r="37" ht="30" customHeight="1" spans="1:12" x14ac:dyDescent="0.25">
      <c r="A37" s="284" t="s">
        <v>687</v>
      </c>
      <c r="B37" s="292" t="s">
        <v>151</v>
      </c>
      <c r="C37" s="303" t="s">
        <v>848</v>
      </c>
      <c r="D37" s="304"/>
      <c r="E37" s="305"/>
      <c r="F37" s="305"/>
      <c r="G37" s="305"/>
      <c r="H37" s="303"/>
      <c r="I37" s="306"/>
      <c r="J37" s="306" t="s">
        <v>424</v>
      </c>
      <c r="K37" s="306"/>
      <c r="L37" s="302" t="s">
        <v>829</v>
      </c>
    </row>
    <row r="38" ht="30" customHeight="1" spans="1:12" x14ac:dyDescent="0.25">
      <c r="A38" s="284" t="s">
        <v>687</v>
      </c>
      <c r="B38" s="292" t="s">
        <v>121</v>
      </c>
      <c r="C38" s="307" t="s">
        <v>849</v>
      </c>
      <c r="D38" s="291"/>
      <c r="E38" s="287"/>
      <c r="F38" s="287"/>
      <c r="G38" s="287"/>
      <c r="H38" s="307"/>
      <c r="I38" s="294"/>
      <c r="J38" s="294"/>
      <c r="K38" s="294" t="s">
        <v>424</v>
      </c>
      <c r="L38" s="302" t="s">
        <v>829</v>
      </c>
    </row>
    <row r="39" ht="30" customHeight="1" spans="1:12" x14ac:dyDescent="0.25">
      <c r="A39" s="308" t="s">
        <v>850</v>
      </c>
      <c r="B39" s="292" t="s">
        <v>167</v>
      </c>
      <c r="C39" s="292" t="s">
        <v>851</v>
      </c>
      <c r="D39" s="291"/>
      <c r="E39" s="287"/>
      <c r="F39" s="287"/>
      <c r="G39" s="287"/>
      <c r="H39" s="292"/>
      <c r="I39" s="294"/>
      <c r="J39" s="294"/>
      <c r="K39" s="294" t="s">
        <v>424</v>
      </c>
      <c r="L39" s="301"/>
    </row>
    <row r="40" ht="30" customHeight="1" spans="1:12" x14ac:dyDescent="0.25">
      <c r="A40" s="284" t="s">
        <v>852</v>
      </c>
      <c r="B40" s="292" t="s">
        <v>26</v>
      </c>
      <c r="C40" s="292" t="s">
        <v>853</v>
      </c>
      <c r="D40" s="291"/>
      <c r="E40" s="287"/>
      <c r="F40" s="287"/>
      <c r="G40" s="287"/>
      <c r="H40" s="292"/>
      <c r="I40" s="294"/>
      <c r="J40" s="294"/>
      <c r="K40" s="294" t="s">
        <v>424</v>
      </c>
      <c r="L40" s="289"/>
    </row>
    <row r="41" ht="30" customHeight="1" spans="1:12" x14ac:dyDescent="0.25">
      <c r="A41" s="284" t="s">
        <v>827</v>
      </c>
      <c r="B41" s="292" t="s">
        <v>164</v>
      </c>
      <c r="C41" s="292" t="s">
        <v>41</v>
      </c>
      <c r="D41" s="291"/>
      <c r="E41" s="287"/>
      <c r="F41" s="287"/>
      <c r="G41" s="287"/>
      <c r="H41" s="292"/>
      <c r="I41" s="294"/>
      <c r="J41" s="294"/>
      <c r="K41" s="294" t="s">
        <v>424</v>
      </c>
      <c r="L41" s="301"/>
    </row>
    <row r="42" ht="30" customHeight="1" spans="1:12" x14ac:dyDescent="0.25">
      <c r="A42" s="284" t="s">
        <v>823</v>
      </c>
      <c r="B42" s="284" t="s">
        <v>52</v>
      </c>
      <c r="C42" s="284"/>
      <c r="D42" s="284"/>
      <c r="E42" s="284"/>
      <c r="F42" s="284"/>
      <c r="G42" s="284"/>
      <c r="H42" s="284"/>
      <c r="I42" s="288"/>
      <c r="J42" s="288"/>
      <c r="K42" s="288"/>
      <c r="L42" s="289"/>
    </row>
    <row r="43" ht="30" customHeight="1" spans="1:12" x14ac:dyDescent="0.25">
      <c r="A43" s="284" t="s">
        <v>823</v>
      </c>
      <c r="B43" s="284" t="s">
        <v>129</v>
      </c>
      <c r="C43" s="284"/>
      <c r="D43" s="284"/>
      <c r="E43" s="284"/>
      <c r="F43" s="284"/>
      <c r="G43" s="284"/>
      <c r="H43" s="284"/>
      <c r="I43" s="288"/>
      <c r="J43" s="288"/>
      <c r="K43" s="288"/>
      <c r="L43" s="301"/>
    </row>
    <row r="44" ht="30" customHeight="1" spans="1:12" x14ac:dyDescent="0.25">
      <c r="A44" s="284" t="s">
        <v>823</v>
      </c>
      <c r="B44" s="284" t="s">
        <v>159</v>
      </c>
      <c r="C44" s="284"/>
      <c r="D44" s="284"/>
      <c r="E44" s="284"/>
      <c r="F44" s="284"/>
      <c r="G44" s="284"/>
      <c r="H44" s="284"/>
      <c r="I44" s="288"/>
      <c r="J44" s="288"/>
      <c r="K44" s="288"/>
      <c r="L44" s="301"/>
    </row>
    <row r="45" ht="30" customHeight="1" spans="1:12" x14ac:dyDescent="0.25">
      <c r="A45" s="284" t="s">
        <v>823</v>
      </c>
      <c r="B45" s="284" t="s">
        <v>186</v>
      </c>
      <c r="C45" s="284"/>
      <c r="D45" s="284"/>
      <c r="E45" s="284"/>
      <c r="F45" s="284"/>
      <c r="G45" s="284"/>
      <c r="H45" s="284"/>
      <c r="I45" s="288"/>
      <c r="J45" s="288"/>
      <c r="K45" s="288"/>
      <c r="L45" s="301"/>
    </row>
    <row r="46" ht="30" customHeight="1" spans="1:12" x14ac:dyDescent="0.25">
      <c r="A46" s="284" t="s">
        <v>827</v>
      </c>
      <c r="B46" s="308" t="s">
        <v>178</v>
      </c>
      <c r="C46" s="308"/>
      <c r="D46" s="308"/>
      <c r="E46" s="308"/>
      <c r="F46" s="308"/>
      <c r="G46" s="308"/>
      <c r="H46" s="308"/>
      <c r="I46" s="309"/>
      <c r="J46" s="309"/>
      <c r="K46" s="309"/>
      <c r="L46" s="301"/>
    </row>
    <row r="47" ht="30" customHeight="1" spans="1:12" x14ac:dyDescent="0.25">
      <c r="A47" s="284" t="s">
        <v>676</v>
      </c>
      <c r="B47" s="284" t="s">
        <v>163</v>
      </c>
      <c r="C47" s="284"/>
      <c r="D47" s="284"/>
      <c r="E47" s="284"/>
      <c r="F47" s="284"/>
      <c r="G47" s="284"/>
      <c r="H47" s="284"/>
      <c r="I47" s="288"/>
      <c r="J47" s="288"/>
      <c r="K47" s="288"/>
      <c r="L47" s="301"/>
    </row>
    <row r="48" ht="30" customHeight="1" spans="1:12" x14ac:dyDescent="0.25">
      <c r="A48" s="284" t="s">
        <v>677</v>
      </c>
      <c r="B48" s="284" t="s">
        <v>182</v>
      </c>
      <c r="C48" s="284"/>
      <c r="D48" s="284"/>
      <c r="E48" s="284"/>
      <c r="F48" s="284"/>
      <c r="G48" s="284"/>
      <c r="H48" s="284"/>
      <c r="I48" s="288"/>
      <c r="J48" s="288"/>
      <c r="K48" s="288"/>
      <c r="L48" s="301"/>
    </row>
    <row r="49" ht="30" customHeight="1" spans="1:12" x14ac:dyDescent="0.25">
      <c r="A49" s="284" t="s">
        <v>677</v>
      </c>
      <c r="B49" s="284" t="s">
        <v>181</v>
      </c>
      <c r="C49" s="284"/>
      <c r="D49" s="284"/>
      <c r="E49" s="284"/>
      <c r="F49" s="284"/>
      <c r="G49" s="284"/>
      <c r="H49" s="284"/>
      <c r="I49" s="288"/>
      <c r="J49" s="288"/>
      <c r="K49" s="288"/>
      <c r="L49" s="301"/>
    </row>
    <row r="50" ht="30" customHeight="1" spans="1:12" x14ac:dyDescent="0.25">
      <c r="A50" s="284" t="s">
        <v>680</v>
      </c>
      <c r="B50" s="310" t="s">
        <v>854</v>
      </c>
      <c r="C50" s="310"/>
      <c r="D50" s="310"/>
      <c r="E50" s="310"/>
      <c r="F50" s="310"/>
      <c r="G50" s="310"/>
      <c r="H50" s="310"/>
      <c r="I50" s="311"/>
      <c r="J50" s="311"/>
      <c r="K50" s="311"/>
      <c r="L50" s="301"/>
    </row>
    <row r="51" ht="30" customHeight="1" spans="1:12" x14ac:dyDescent="0.25">
      <c r="A51" s="284" t="s">
        <v>680</v>
      </c>
      <c r="B51" s="284" t="s">
        <v>115</v>
      </c>
      <c r="C51" s="284"/>
      <c r="D51" s="284"/>
      <c r="E51" s="284"/>
      <c r="F51" s="284"/>
      <c r="G51" s="284"/>
      <c r="H51" s="284"/>
      <c r="I51" s="288"/>
      <c r="J51" s="288"/>
      <c r="K51" s="288"/>
      <c r="L51" s="301"/>
    </row>
    <row r="52" ht="30" customHeight="1" spans="1:12" x14ac:dyDescent="0.25">
      <c r="A52" s="284" t="s">
        <v>680</v>
      </c>
      <c r="B52" s="284" t="s">
        <v>169</v>
      </c>
      <c r="C52" s="284"/>
      <c r="D52" s="284"/>
      <c r="E52" s="284"/>
      <c r="F52" s="284"/>
      <c r="G52" s="284"/>
      <c r="H52" s="284"/>
      <c r="I52" s="288"/>
      <c r="J52" s="288"/>
      <c r="K52" s="288"/>
      <c r="L52" s="301"/>
    </row>
    <row r="53" ht="30" customHeight="1" spans="1:12" x14ac:dyDescent="0.25">
      <c r="A53" s="284" t="s">
        <v>680</v>
      </c>
      <c r="B53" s="284" t="s">
        <v>193</v>
      </c>
      <c r="C53" s="284"/>
      <c r="D53" s="284"/>
      <c r="E53" s="284"/>
      <c r="F53" s="284"/>
      <c r="G53" s="284"/>
      <c r="H53" s="284"/>
      <c r="I53" s="288"/>
      <c r="J53" s="288"/>
      <c r="K53" s="288"/>
      <c r="L53" s="301"/>
    </row>
    <row r="54" ht="30" customHeight="1" spans="1:12" x14ac:dyDescent="0.25">
      <c r="A54" s="284" t="s">
        <v>681</v>
      </c>
      <c r="B54" s="284" t="s">
        <v>150</v>
      </c>
      <c r="C54" s="284"/>
      <c r="D54" s="284"/>
      <c r="E54" s="284"/>
      <c r="F54" s="284"/>
      <c r="G54" s="284"/>
      <c r="H54" s="284"/>
      <c r="I54" s="288"/>
      <c r="J54" s="288"/>
      <c r="K54" s="288"/>
      <c r="L54" s="301"/>
    </row>
    <row r="55" ht="30" customHeight="1" spans="1:12" x14ac:dyDescent="0.25">
      <c r="A55" s="284" t="s">
        <v>682</v>
      </c>
      <c r="B55" s="284" t="s">
        <v>68</v>
      </c>
      <c r="C55" s="284"/>
      <c r="D55" s="284"/>
      <c r="E55" s="284"/>
      <c r="F55" s="284"/>
      <c r="G55" s="284"/>
      <c r="H55" s="284"/>
      <c r="I55" s="288"/>
      <c r="J55" s="288"/>
      <c r="K55" s="288"/>
      <c r="L55" s="289"/>
    </row>
    <row r="56" ht="30" customHeight="1" spans="1:12" x14ac:dyDescent="0.25">
      <c r="A56" s="284" t="s">
        <v>683</v>
      </c>
      <c r="B56" s="284" t="s">
        <v>105</v>
      </c>
      <c r="C56" s="284"/>
      <c r="D56" s="284"/>
      <c r="E56" s="284"/>
      <c r="F56" s="284"/>
      <c r="G56" s="284"/>
      <c r="H56" s="284"/>
      <c r="I56" s="288"/>
      <c r="J56" s="288"/>
      <c r="K56" s="288"/>
      <c r="L56" s="301"/>
    </row>
    <row r="57" ht="30" customHeight="1" spans="1:12" x14ac:dyDescent="0.25">
      <c r="A57" s="284" t="s">
        <v>683</v>
      </c>
      <c r="B57" s="310" t="s">
        <v>855</v>
      </c>
      <c r="C57" s="310"/>
      <c r="D57" s="310"/>
      <c r="E57" s="310"/>
      <c r="F57" s="310"/>
      <c r="G57" s="310"/>
      <c r="H57" s="310"/>
      <c r="I57" s="311"/>
      <c r="J57" s="311"/>
      <c r="K57" s="311"/>
      <c r="L57" s="301"/>
    </row>
    <row r="58" ht="30" customHeight="1" spans="1:12" x14ac:dyDescent="0.25">
      <c r="A58" s="284" t="s">
        <v>683</v>
      </c>
      <c r="B58" s="284" t="s">
        <v>185</v>
      </c>
      <c r="C58" s="284"/>
      <c r="D58" s="284"/>
      <c r="E58" s="284"/>
      <c r="F58" s="284"/>
      <c r="G58" s="284"/>
      <c r="H58" s="284"/>
      <c r="I58" s="288"/>
      <c r="J58" s="288"/>
      <c r="K58" s="288"/>
      <c r="L58" s="301"/>
    </row>
    <row r="59" ht="30" customHeight="1" spans="1:12" x14ac:dyDescent="0.25">
      <c r="A59" s="284" t="s">
        <v>684</v>
      </c>
      <c r="B59" s="284" t="s">
        <v>30</v>
      </c>
      <c r="C59" s="284"/>
      <c r="D59" s="284"/>
      <c r="E59" s="284"/>
      <c r="F59" s="284"/>
      <c r="G59" s="284"/>
      <c r="H59" s="284"/>
      <c r="I59" s="288"/>
      <c r="J59" s="288"/>
      <c r="K59" s="288"/>
      <c r="L59" s="289"/>
    </row>
    <row r="60" ht="30" customHeight="1" spans="1:12" x14ac:dyDescent="0.25">
      <c r="A60" s="284" t="s">
        <v>684</v>
      </c>
      <c r="B60" s="284" t="s">
        <v>95</v>
      </c>
      <c r="C60" s="284"/>
      <c r="D60" s="284"/>
      <c r="E60" s="284"/>
      <c r="F60" s="284"/>
      <c r="G60" s="284"/>
      <c r="H60" s="284"/>
      <c r="I60" s="288"/>
      <c r="J60" s="288"/>
      <c r="K60" s="288"/>
      <c r="L60" s="301"/>
    </row>
    <row r="61" ht="30" customHeight="1" spans="1:12" x14ac:dyDescent="0.25">
      <c r="A61" s="284" t="s">
        <v>684</v>
      </c>
      <c r="B61" s="284" t="s">
        <v>143</v>
      </c>
      <c r="C61" s="284"/>
      <c r="D61" s="284"/>
      <c r="E61" s="284"/>
      <c r="F61" s="284"/>
      <c r="G61" s="284"/>
      <c r="H61" s="284"/>
      <c r="I61" s="288"/>
      <c r="J61" s="288"/>
      <c r="K61" s="288"/>
      <c r="L61" s="301"/>
    </row>
    <row r="62" ht="30" customHeight="1" spans="1:12" x14ac:dyDescent="0.25">
      <c r="A62" s="284" t="s">
        <v>684</v>
      </c>
      <c r="B62" s="284" t="s">
        <v>188</v>
      </c>
      <c r="C62" s="284"/>
      <c r="D62" s="284"/>
      <c r="E62" s="284"/>
      <c r="F62" s="284"/>
      <c r="G62" s="284"/>
      <c r="H62" s="284"/>
      <c r="I62" s="288"/>
      <c r="J62" s="288"/>
      <c r="K62" s="288"/>
      <c r="L62" s="301"/>
    </row>
    <row r="63" ht="30" customHeight="1" spans="1:12" x14ac:dyDescent="0.25">
      <c r="A63" s="284" t="s">
        <v>684</v>
      </c>
      <c r="B63" s="284" t="s">
        <v>189</v>
      </c>
      <c r="C63" s="284"/>
      <c r="D63" s="284"/>
      <c r="E63" s="284"/>
      <c r="F63" s="284"/>
      <c r="G63" s="284"/>
      <c r="H63" s="284"/>
      <c r="I63" s="288"/>
      <c r="J63" s="288"/>
      <c r="K63" s="288"/>
      <c r="L63" s="301"/>
    </row>
    <row r="64" ht="30" customHeight="1" spans="1:12" x14ac:dyDescent="0.25">
      <c r="A64" s="308" t="s">
        <v>856</v>
      </c>
      <c r="B64" s="284" t="s">
        <v>99</v>
      </c>
      <c r="C64" s="284"/>
      <c r="D64" s="284"/>
      <c r="E64" s="284"/>
      <c r="F64" s="284"/>
      <c r="G64" s="284"/>
      <c r="H64" s="284"/>
      <c r="I64" s="288"/>
      <c r="J64" s="288"/>
      <c r="K64" s="288"/>
      <c r="L64" s="301"/>
    </row>
    <row r="65" ht="30" customHeight="1" spans="1:12" x14ac:dyDescent="0.25">
      <c r="A65" s="284" t="s">
        <v>687</v>
      </c>
      <c r="B65" s="284" t="s">
        <v>161</v>
      </c>
      <c r="C65" s="284"/>
      <c r="D65" s="284"/>
      <c r="E65" s="284"/>
      <c r="F65" s="284"/>
      <c r="G65" s="284"/>
      <c r="H65" s="284"/>
      <c r="I65" s="288"/>
      <c r="J65" s="288"/>
      <c r="K65" s="288"/>
      <c r="L65" s="301"/>
    </row>
    <row r="66" ht="30" customHeight="1" spans="1:12" x14ac:dyDescent="0.25">
      <c r="A66" s="284" t="s">
        <v>687</v>
      </c>
      <c r="B66" s="284" t="s">
        <v>151</v>
      </c>
      <c r="C66" s="284"/>
      <c r="D66" s="284"/>
      <c r="E66" s="284"/>
      <c r="F66" s="284"/>
      <c r="G66" s="284"/>
      <c r="H66" s="284"/>
      <c r="I66" s="288"/>
      <c r="J66" s="288"/>
      <c r="K66" s="288"/>
      <c r="L66" s="301"/>
    </row>
    <row r="67" ht="30" customHeight="1" spans="1:12" x14ac:dyDescent="0.25">
      <c r="A67" s="284" t="s">
        <v>687</v>
      </c>
      <c r="B67" s="284" t="s">
        <v>172</v>
      </c>
      <c r="C67" s="284"/>
      <c r="D67" s="284"/>
      <c r="E67" s="284"/>
      <c r="F67" s="284"/>
      <c r="G67" s="284"/>
      <c r="H67" s="284"/>
      <c r="I67" s="288"/>
      <c r="J67" s="288"/>
      <c r="K67" s="288"/>
      <c r="L67" s="301"/>
    </row>
    <row r="68" ht="30" customHeight="1" spans="1:12" x14ac:dyDescent="0.25">
      <c r="A68" s="284" t="s">
        <v>687</v>
      </c>
      <c r="B68" s="284" t="s">
        <v>176</v>
      </c>
      <c r="C68" s="284"/>
      <c r="D68" s="284"/>
      <c r="E68" s="284"/>
      <c r="F68" s="284"/>
      <c r="G68" s="284"/>
      <c r="H68" s="284"/>
      <c r="I68" s="288"/>
      <c r="J68" s="288"/>
      <c r="K68" s="288"/>
      <c r="L68" s="301"/>
    </row>
    <row r="69" ht="30" customHeight="1" spans="1:12" x14ac:dyDescent="0.25">
      <c r="A69" s="308" t="s">
        <v>857</v>
      </c>
      <c r="B69" s="284" t="s">
        <v>174</v>
      </c>
      <c r="C69" s="284"/>
      <c r="D69" s="284"/>
      <c r="E69" s="284"/>
      <c r="F69" s="284"/>
      <c r="G69" s="284"/>
      <c r="H69" s="284"/>
      <c r="I69" s="288"/>
      <c r="J69" s="288"/>
      <c r="K69" s="288"/>
      <c r="L69" s="301"/>
    </row>
    <row r="70" ht="30" customHeight="1" spans="1:12" x14ac:dyDescent="0.25">
      <c r="A70" s="284" t="s">
        <v>858</v>
      </c>
      <c r="B70" s="284" t="s">
        <v>180</v>
      </c>
      <c r="C70" s="284"/>
      <c r="D70" s="284"/>
      <c r="E70" s="284"/>
      <c r="F70" s="284"/>
      <c r="G70" s="284"/>
      <c r="H70" s="284"/>
      <c r="I70" s="288"/>
      <c r="J70" s="288"/>
      <c r="K70" s="288"/>
      <c r="L70" s="301"/>
    </row>
    <row r="71" ht="30" customHeight="1" spans="1:12" x14ac:dyDescent="0.25">
      <c r="A71" s="284" t="s">
        <v>859</v>
      </c>
      <c r="B71" s="284" t="s">
        <v>190</v>
      </c>
      <c r="C71" s="284"/>
      <c r="D71" s="284"/>
      <c r="E71" s="284"/>
      <c r="F71" s="284"/>
      <c r="G71" s="284"/>
      <c r="H71" s="284"/>
      <c r="I71" s="288"/>
      <c r="J71" s="288"/>
      <c r="K71" s="288"/>
      <c r="L71" s="301"/>
    </row>
    <row r="72" ht="30" customHeight="1" spans="1:12" x14ac:dyDescent="0.25">
      <c r="A72" s="312" t="s">
        <v>860</v>
      </c>
      <c r="B72" s="312" t="s">
        <v>45</v>
      </c>
      <c r="C72" s="312" t="s">
        <v>861</v>
      </c>
      <c r="D72" s="313"/>
      <c r="E72" s="314"/>
      <c r="F72" s="314"/>
      <c r="G72" s="314"/>
      <c r="H72" s="312"/>
      <c r="I72" s="315"/>
      <c r="J72" s="315" t="s">
        <v>424</v>
      </c>
      <c r="K72" s="315"/>
      <c r="L72" s="316" t="s">
        <v>862</v>
      </c>
    </row>
  </sheetData>
  <autoFilter ref="A3:L71"/>
  <mergeCells count="32">
    <mergeCell ref="A1:C1"/>
    <mergeCell ref="D1:E1"/>
    <mergeCell ref="F1:K1"/>
    <mergeCell ref="D7:E7"/>
    <mergeCell ref="D8:E8"/>
    <mergeCell ref="D9:E9"/>
    <mergeCell ref="D10:E10"/>
    <mergeCell ref="D12:E12"/>
    <mergeCell ref="D13:E13"/>
    <mergeCell ref="D14:E14"/>
    <mergeCell ref="D15:E15"/>
    <mergeCell ref="D16:E16"/>
    <mergeCell ref="D17:E17"/>
    <mergeCell ref="D18:E18"/>
    <mergeCell ref="D19:E19"/>
    <mergeCell ref="D20:E20"/>
    <mergeCell ref="D21:E21"/>
    <mergeCell ref="D22:E22"/>
    <mergeCell ref="D23:E23"/>
    <mergeCell ref="D24:E24"/>
    <mergeCell ref="D30:E30"/>
    <mergeCell ref="D31:E31"/>
    <mergeCell ref="D32:E32"/>
    <mergeCell ref="D34:E34"/>
    <mergeCell ref="D35:E35"/>
    <mergeCell ref="D36:E36"/>
    <mergeCell ref="D37:E37"/>
    <mergeCell ref="D38:E38"/>
    <mergeCell ref="D39:E39"/>
    <mergeCell ref="D40:E40"/>
    <mergeCell ref="D41:E41"/>
    <mergeCell ref="D72:E72"/>
  </mergeCells>
  <pageMargins left="0.7" right="0.7" top="0.75" bottom="0.75" header="0.3" footer="0.3"/>
  <pageSetup paperSize="9" orientation="portrait" horizontalDpi="0" verticalDpi="0" scale="28"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40"/>
  <sheetViews>
    <sheetView workbookViewId="0" showGridLines="0" zoomScale="80" zoomScaleNormal="80">
      <pane ySplit="16" topLeftCell="A17" activePane="bottomLeft" state="frozen"/>
      <selection pane="bottomLeft" activeCell="A16" sqref="A16"/>
    </sheetView>
  </sheetViews>
  <sheetFormatPr defaultRowHeight="16" outlineLevelRow="0" outlineLevelCol="0" x14ac:dyDescent="0" defaultColWidth="11" customHeight="1"/>
  <cols>
    <col min="1" max="1" width="70.33203125" style="1" customWidth="1"/>
    <col min="2" max="4" width="5.1640625" style="1" customWidth="1"/>
    <col min="5" max="5" width="17.6640625" style="1" customWidth="1"/>
    <col min="6" max="6" width="14.83203125" customWidth="1"/>
    <col min="7" max="7" width="61.6640625" style="1" customWidth="1"/>
    <col min="8" max="8" width="18.6640625" customWidth="1"/>
    <col min="9" max="9" width="33.83203125" customWidth="1"/>
    <col min="10" max="10" width="7.6640625" customWidth="1"/>
    <col min="11" max="11" width="25.1640625" customWidth="1"/>
    <col min="12" max="12" width="7.83203125" customWidth="1"/>
    <col min="13" max="13" width="30.83203125" customWidth="1"/>
    <col min="14" max="14" width="4.1640625" customWidth="1"/>
    <col min="15" max="15" width="54.6640625" customWidth="1"/>
    <col min="16" max="16" width="2.6640625" customWidth="1"/>
    <col min="17" max="17" width="51.83203125" customWidth="1"/>
    <col min="18" max="18" width="4.5" customWidth="1"/>
    <col min="19" max="19" width="45.83203125" customWidth="1"/>
    <col min="20" max="20" width="6.83203125" customWidth="1"/>
    <col min="21" max="21" width="84.83203125" customWidth="1"/>
  </cols>
  <sheetData>
    <row r="1" ht="94" customHeight="1" spans="1:7" s="2" customFormat="1" x14ac:dyDescent="0.25">
      <c r="A1" s="3"/>
      <c r="B1" s="3"/>
      <c r="C1" s="3"/>
      <c r="D1" s="3"/>
      <c r="E1" s="3"/>
      <c r="F1" s="2"/>
      <c r="G1" s="3"/>
    </row>
    <row r="14" ht="19" customHeight="1" spans="1:3" x14ac:dyDescent="0.25">
      <c r="A14" s="1"/>
      <c r="B14" s="1"/>
      <c r="C14" s="4">
        <f>SUM(B15:D15)</f>
        <v>114</v>
      </c>
    </row>
    <row r="15" ht="39" customHeight="1" spans="1:18" x14ac:dyDescent="0.25">
      <c r="A15" s="5" t="s">
        <v>0</v>
      </c>
      <c r="B15" s="6">
        <f>(COUNTA(B17:B130))</f>
        <v>66</v>
      </c>
      <c r="C15" s="6">
        <f>(COUNTA(C17:C130))</f>
        <v>29</v>
      </c>
      <c r="D15" s="6">
        <f>(COUNTA(D17:D130))</f>
        <v>19</v>
      </c>
      <c r="E15" s="7" t="s">
        <v>1</v>
      </c>
      <c r="G15" s="1"/>
      <c r="P15" s="8"/>
      <c r="Q15" s="8"/>
      <c r="R15" s="8"/>
    </row>
    <row r="16" ht="56" customHeight="1" spans="1:21" s="9" customFormat="1" x14ac:dyDescent="0.25">
      <c r="A16" s="10">
        <f>COUNTA(A17:A130)</f>
        <v>114</v>
      </c>
      <c r="B16" s="10" t="s">
        <v>2</v>
      </c>
      <c r="C16" s="10" t="s">
        <v>3</v>
      </c>
      <c r="D16" s="10" t="s">
        <v>4</v>
      </c>
      <c r="E16" s="10">
        <f>COUNTA(E17:E130)</f>
        <v>17</v>
      </c>
      <c r="F16" s="11"/>
      <c r="G16" s="10">
        <f>COUNTA(G17:G93)</f>
        <v>72</v>
      </c>
      <c r="H16" s="12"/>
      <c r="I16" s="12">
        <f>COUNTA(I22:I94)</f>
        <v>18</v>
      </c>
      <c r="J16" s="12"/>
      <c r="K16" s="12">
        <f>COUNTA(K17:K45)</f>
        <v>21</v>
      </c>
      <c r="L16" s="12"/>
      <c r="M16" s="12">
        <f>COUNTA(M17:M89)</f>
        <v>6</v>
      </c>
      <c r="N16" s="12"/>
      <c r="O16" s="12">
        <f>COUNTA(O17:O34)</f>
        <v>16</v>
      </c>
      <c r="P16" s="12"/>
      <c r="Q16" s="12">
        <f>COUNTA(Q17:Q54)</f>
        <v>38</v>
      </c>
      <c r="R16" s="12"/>
      <c r="S16" s="12">
        <f>COUNTA(S17:S97)</f>
        <v>6</v>
      </c>
      <c r="T16" s="12"/>
      <c r="U16" s="12">
        <f t="shared" ref="U16" si="0">COUNTA(U17:U95)</f>
        <v>3</v>
      </c>
    </row>
    <row r="17" ht="29" customHeight="1" spans="1:21" s="13" customFormat="1" x14ac:dyDescent="0.25">
      <c r="A17" s="14"/>
      <c r="B17" s="15"/>
      <c r="C17" s="15"/>
      <c r="D17" s="15"/>
      <c r="E17" s="16"/>
      <c r="F17" s="13"/>
      <c r="G17" s="17" t="s">
        <v>5</v>
      </c>
      <c r="H17" s="18"/>
      <c r="I17" s="19" t="s">
        <v>6</v>
      </c>
      <c r="J17" s="18"/>
      <c r="K17" s="20" t="s">
        <v>7</v>
      </c>
      <c r="L17" s="13"/>
      <c r="M17" s="20" t="s">
        <v>8</v>
      </c>
      <c r="N17" s="13"/>
      <c r="O17" s="21" t="s">
        <v>9</v>
      </c>
      <c r="P17" s="20"/>
      <c r="Q17" s="22" t="s">
        <v>10</v>
      </c>
      <c r="R17" s="22"/>
      <c r="S17" s="22" t="s">
        <v>11</v>
      </c>
      <c r="T17" s="13"/>
      <c r="U17" s="20" t="s">
        <v>12</v>
      </c>
    </row>
    <row r="18" ht="29" customHeight="1" spans="1:21" s="13" customFormat="1" x14ac:dyDescent="0.25">
      <c r="A18" s="14"/>
      <c r="B18" s="15"/>
      <c r="C18" s="15"/>
      <c r="D18" s="15"/>
      <c r="E18" s="16"/>
      <c r="F18" s="13"/>
      <c r="G18" s="20" t="s">
        <v>13</v>
      </c>
      <c r="H18" s="18"/>
      <c r="I18" s="23" t="s">
        <v>14</v>
      </c>
      <c r="J18" s="18"/>
      <c r="K18" s="20" t="s">
        <v>15</v>
      </c>
      <c r="L18" s="13"/>
      <c r="M18" s="20" t="s">
        <v>16</v>
      </c>
      <c r="N18" s="13"/>
      <c r="O18" s="21" t="s">
        <v>17</v>
      </c>
      <c r="P18" s="20"/>
      <c r="Q18" s="22" t="s">
        <v>18</v>
      </c>
      <c r="R18" s="22"/>
      <c r="S18" s="22" t="s">
        <v>19</v>
      </c>
      <c r="T18" s="13"/>
      <c r="U18" s="20" t="s">
        <v>20</v>
      </c>
    </row>
    <row r="19" ht="29" customHeight="1" spans="1:26" s="13" customFormat="1" x14ac:dyDescent="0.25">
      <c r="A19" s="14"/>
      <c r="B19" s="15"/>
      <c r="C19" s="15"/>
      <c r="D19" s="15"/>
      <c r="E19" s="16"/>
      <c r="F19" s="13"/>
      <c r="G19" s="20" t="s">
        <v>21</v>
      </c>
      <c r="H19" s="18"/>
      <c r="I19" s="23" t="s">
        <v>22</v>
      </c>
      <c r="J19" s="18"/>
      <c r="K19" s="20" t="s">
        <v>23</v>
      </c>
      <c r="L19" s="13"/>
      <c r="M19" s="20" t="s">
        <v>24</v>
      </c>
      <c r="N19" s="13"/>
      <c r="O19" s="21" t="s">
        <v>25</v>
      </c>
      <c r="P19" s="20"/>
      <c r="Q19" s="22" t="s">
        <v>26</v>
      </c>
      <c r="R19" s="22"/>
      <c r="S19" s="22" t="s">
        <v>27</v>
      </c>
      <c r="T19" s="13"/>
      <c r="U19" s="22" t="s">
        <v>28</v>
      </c>
      <c r="V19" s="13"/>
      <c r="W19" s="13"/>
      <c r="X19" s="13"/>
      <c r="Y19" s="13"/>
      <c r="Z19" s="24" t="s">
        <v>29</v>
      </c>
    </row>
    <row r="20" ht="29" customHeight="1" spans="1:26" s="13" customFormat="1" x14ac:dyDescent="0.25">
      <c r="A20" s="14"/>
      <c r="B20" s="15"/>
      <c r="C20" s="15"/>
      <c r="D20" s="15"/>
      <c r="E20" s="16"/>
      <c r="F20" s="13"/>
      <c r="G20" s="20" t="s">
        <v>30</v>
      </c>
      <c r="H20" s="18"/>
      <c r="I20" s="23" t="s">
        <v>31</v>
      </c>
      <c r="J20" s="18"/>
      <c r="K20" s="20" t="s">
        <v>32</v>
      </c>
      <c r="L20" s="13"/>
      <c r="M20" s="20" t="s">
        <v>33</v>
      </c>
      <c r="N20" s="13"/>
      <c r="O20" s="21" t="s">
        <v>34</v>
      </c>
      <c r="P20" s="20"/>
      <c r="Q20" s="22" t="s">
        <v>35</v>
      </c>
      <c r="R20" s="22"/>
      <c r="S20" s="22" t="s">
        <v>36</v>
      </c>
      <c r="T20" s="13"/>
      <c r="U20" s="13"/>
      <c r="V20" s="13"/>
      <c r="W20" s="13"/>
      <c r="X20" s="13"/>
      <c r="Y20" s="13"/>
      <c r="Z20" s="24" t="s">
        <v>37</v>
      </c>
    </row>
    <row r="21" ht="29" customHeight="1" spans="1:26" s="13" customFormat="1" x14ac:dyDescent="0.25">
      <c r="A21" s="25"/>
      <c r="B21" s="16"/>
      <c r="C21" s="16"/>
      <c r="D21" s="16"/>
      <c r="E21" s="16"/>
      <c r="F21" s="13"/>
      <c r="G21" s="20" t="s">
        <v>35</v>
      </c>
      <c r="H21" s="18"/>
      <c r="I21" s="23" t="s">
        <v>38</v>
      </c>
      <c r="J21" s="18"/>
      <c r="K21" s="20" t="s">
        <v>39</v>
      </c>
      <c r="L21" s="13"/>
      <c r="M21" s="20" t="s">
        <v>40</v>
      </c>
      <c r="N21" s="13"/>
      <c r="O21" s="21" t="s">
        <v>41</v>
      </c>
      <c r="P21" s="20"/>
      <c r="Q21" s="22" t="s">
        <v>42</v>
      </c>
      <c r="R21" s="22"/>
      <c r="S21" s="22" t="s">
        <v>43</v>
      </c>
      <c r="T21" s="13"/>
      <c r="U21" s="13"/>
      <c r="V21" s="13"/>
      <c r="W21" s="13"/>
      <c r="X21" s="13"/>
      <c r="Y21" s="13"/>
      <c r="Z21" s="24" t="s">
        <v>44</v>
      </c>
    </row>
    <row r="22" ht="29" customHeight="1" spans="1:26" s="13" customFormat="1" x14ac:dyDescent="0.25">
      <c r="A22" s="25"/>
      <c r="B22" s="16"/>
      <c r="C22" s="16"/>
      <c r="D22" s="16"/>
      <c r="E22" s="16"/>
      <c r="F22" s="13"/>
      <c r="G22" s="20" t="s">
        <v>45</v>
      </c>
      <c r="H22" s="18"/>
      <c r="I22" s="23" t="s">
        <v>46</v>
      </c>
      <c r="J22" s="18"/>
      <c r="K22" s="20" t="s">
        <v>47</v>
      </c>
      <c r="L22" s="13"/>
      <c r="M22" s="20" t="s">
        <v>48</v>
      </c>
      <c r="N22" s="13"/>
      <c r="O22" s="21" t="s">
        <v>49</v>
      </c>
      <c r="P22" s="20"/>
      <c r="Q22" s="22" t="s">
        <v>50</v>
      </c>
      <c r="R22" s="22"/>
      <c r="S22" s="22" t="s">
        <v>51</v>
      </c>
      <c r="T22" s="13"/>
      <c r="U22" s="13"/>
      <c r="V22" s="13"/>
      <c r="W22" s="13"/>
      <c r="X22" s="13"/>
      <c r="Y22" s="13"/>
      <c r="Z22" s="24"/>
    </row>
    <row r="23" ht="29" customHeight="1" spans="1:26" s="13" customFormat="1" x14ac:dyDescent="0.25">
      <c r="A23" s="25"/>
      <c r="B23" s="16"/>
      <c r="C23" s="16"/>
      <c r="D23" s="16"/>
      <c r="E23" s="16"/>
      <c r="F23" s="13"/>
      <c r="G23" s="20" t="s">
        <v>52</v>
      </c>
      <c r="H23" s="18"/>
      <c r="I23" s="26" t="s">
        <v>53</v>
      </c>
      <c r="J23" s="18"/>
      <c r="K23" s="20" t="s">
        <v>54</v>
      </c>
      <c r="L23" s="13"/>
      <c r="M23" s="20"/>
      <c r="N23" s="13"/>
      <c r="O23" s="21" t="s">
        <v>55</v>
      </c>
      <c r="P23" s="20"/>
      <c r="Q23" s="22" t="s">
        <v>56</v>
      </c>
      <c r="R23" s="22"/>
      <c r="S23" s="22"/>
      <c r="T23" s="13"/>
      <c r="U23" s="13"/>
      <c r="V23" s="13"/>
      <c r="W23" s="13"/>
      <c r="X23" s="13"/>
      <c r="Y23" s="13"/>
      <c r="Z23" s="24" t="s">
        <v>57</v>
      </c>
    </row>
    <row r="24" ht="29" customHeight="1" spans="1:26" s="13" customFormat="1" x14ac:dyDescent="0.25">
      <c r="A24" s="25"/>
      <c r="B24" s="16"/>
      <c r="C24" s="16"/>
      <c r="D24" s="16"/>
      <c r="E24" s="16"/>
      <c r="F24" s="13"/>
      <c r="G24" s="20" t="s">
        <v>42</v>
      </c>
      <c r="H24" s="18"/>
      <c r="I24" s="26" t="s">
        <v>58</v>
      </c>
      <c r="J24" s="18"/>
      <c r="K24" s="20" t="s">
        <v>59</v>
      </c>
      <c r="L24" s="13"/>
      <c r="M24" s="20"/>
      <c r="N24" s="13"/>
      <c r="O24" s="27" t="s">
        <v>60</v>
      </c>
      <c r="P24" s="20"/>
      <c r="Q24" s="22" t="s">
        <v>61</v>
      </c>
      <c r="R24" s="22"/>
      <c r="S24" s="22"/>
      <c r="T24" s="13"/>
      <c r="U24" s="13"/>
      <c r="V24" s="13"/>
      <c r="W24" s="13"/>
      <c r="X24" s="13"/>
      <c r="Y24" s="13"/>
      <c r="Z24" s="24" t="s">
        <v>62</v>
      </c>
    </row>
    <row r="25" ht="29" customHeight="1" spans="1:26" s="13" customFormat="1" x14ac:dyDescent="0.25">
      <c r="A25" s="14"/>
      <c r="B25" s="15"/>
      <c r="C25" s="15"/>
      <c r="D25" s="15"/>
      <c r="E25" s="16"/>
      <c r="F25" s="13"/>
      <c r="G25" s="20" t="s">
        <v>63</v>
      </c>
      <c r="H25" s="18"/>
      <c r="I25" s="26" t="s">
        <v>14</v>
      </c>
      <c r="J25" s="18"/>
      <c r="K25" s="20" t="s">
        <v>64</v>
      </c>
      <c r="L25" s="13"/>
      <c r="M25" s="20"/>
      <c r="N25" s="13"/>
      <c r="O25" s="27" t="s">
        <v>65</v>
      </c>
      <c r="P25" s="20"/>
      <c r="Q25" s="22" t="s">
        <v>66</v>
      </c>
      <c r="R25" s="22"/>
      <c r="S25" s="22"/>
      <c r="T25" s="13"/>
      <c r="U25" s="13"/>
      <c r="V25" s="13"/>
      <c r="W25" s="13"/>
      <c r="X25" s="13"/>
      <c r="Y25" s="13"/>
      <c r="Z25" s="24" t="s">
        <v>67</v>
      </c>
    </row>
    <row r="26" ht="29" customHeight="1" spans="1:26" s="13" customFormat="1" x14ac:dyDescent="0.25">
      <c r="A26" s="14"/>
      <c r="B26" s="15"/>
      <c r="C26" s="15"/>
      <c r="D26" s="15"/>
      <c r="E26" s="16"/>
      <c r="F26" s="13"/>
      <c r="G26" s="20" t="s">
        <v>68</v>
      </c>
      <c r="H26" s="18"/>
      <c r="I26" s="26" t="s">
        <v>22</v>
      </c>
      <c r="J26" s="18"/>
      <c r="K26" s="20" t="s">
        <v>69</v>
      </c>
      <c r="L26" s="13"/>
      <c r="M26" s="20"/>
      <c r="N26" s="13"/>
      <c r="O26" s="27" t="s">
        <v>70</v>
      </c>
      <c r="P26" s="20"/>
      <c r="Q26" s="22" t="s">
        <v>71</v>
      </c>
      <c r="R26" s="22"/>
      <c r="S26" s="22"/>
      <c r="T26" s="13"/>
      <c r="U26" s="13"/>
      <c r="V26" s="13"/>
      <c r="W26" s="13"/>
      <c r="X26" s="13"/>
      <c r="Y26" s="13"/>
      <c r="Z26" s="24" t="s">
        <v>72</v>
      </c>
    </row>
    <row r="27" ht="29" customHeight="1" spans="1:26" s="13" customFormat="1" x14ac:dyDescent="0.25">
      <c r="A27" s="25"/>
      <c r="B27" s="16"/>
      <c r="C27" s="16"/>
      <c r="D27" s="16"/>
      <c r="E27" s="16"/>
      <c r="F27" s="13"/>
      <c r="G27" s="20" t="s">
        <v>61</v>
      </c>
      <c r="H27" s="18"/>
      <c r="I27" s="26" t="s">
        <v>73</v>
      </c>
      <c r="J27" s="18"/>
      <c r="K27" s="20" t="s">
        <v>74</v>
      </c>
      <c r="L27" s="13"/>
      <c r="M27" s="20"/>
      <c r="N27" s="13"/>
      <c r="O27" s="21" t="s">
        <v>75</v>
      </c>
      <c r="P27" s="20"/>
      <c r="Q27" s="22" t="s">
        <v>76</v>
      </c>
      <c r="R27" s="22"/>
      <c r="S27" s="22"/>
      <c r="T27" s="13"/>
      <c r="U27" s="13"/>
      <c r="V27" s="13"/>
      <c r="W27" s="13"/>
      <c r="X27" s="13"/>
      <c r="Y27" s="13"/>
      <c r="Z27" s="24" t="s">
        <v>77</v>
      </c>
    </row>
    <row r="28" ht="29" customHeight="1" spans="1:26" s="13" customFormat="1" x14ac:dyDescent="0.25">
      <c r="A28" s="25"/>
      <c r="B28" s="16"/>
      <c r="C28" s="16"/>
      <c r="D28" s="16"/>
      <c r="E28" s="16"/>
      <c r="F28" s="28"/>
      <c r="G28" s="20" t="s">
        <v>78</v>
      </c>
      <c r="H28" s="18"/>
      <c r="I28" s="26" t="s">
        <v>79</v>
      </c>
      <c r="J28" s="18"/>
      <c r="K28" s="20" t="s">
        <v>80</v>
      </c>
      <c r="L28" s="13"/>
      <c r="M28" s="20"/>
      <c r="N28" s="13"/>
      <c r="O28" s="21" t="s">
        <v>81</v>
      </c>
      <c r="P28" s="20"/>
      <c r="Q28" s="22" t="s">
        <v>82</v>
      </c>
      <c r="R28" s="22"/>
      <c r="S28" s="22"/>
      <c r="T28" s="13"/>
      <c r="U28" s="13"/>
      <c r="V28" s="13"/>
      <c r="W28" s="13"/>
      <c r="X28" s="13"/>
      <c r="Y28" s="13"/>
      <c r="Z28" s="24" t="s">
        <v>83</v>
      </c>
    </row>
    <row r="29" ht="29" customHeight="1" spans="1:26" s="13" customFormat="1" x14ac:dyDescent="0.25">
      <c r="A29" s="14"/>
      <c r="B29" s="15"/>
      <c r="C29" s="15"/>
      <c r="D29" s="15"/>
      <c r="E29" s="16"/>
      <c r="F29" s="13"/>
      <c r="G29" s="20" t="s">
        <v>84</v>
      </c>
      <c r="H29" s="18"/>
      <c r="I29" s="29" t="s">
        <v>85</v>
      </c>
      <c r="J29" s="18"/>
      <c r="K29" s="20" t="s">
        <v>86</v>
      </c>
      <c r="L29" s="13"/>
      <c r="M29" s="20"/>
      <c r="N29" s="13"/>
      <c r="O29" s="17" t="s">
        <v>87</v>
      </c>
      <c r="P29" s="20"/>
      <c r="Q29" s="22" t="s">
        <v>88</v>
      </c>
      <c r="R29" s="30"/>
      <c r="S29" s="22"/>
      <c r="T29" s="13"/>
      <c r="U29" s="13"/>
      <c r="V29" s="13"/>
      <c r="W29" s="13"/>
      <c r="X29" s="13"/>
      <c r="Y29" s="13"/>
      <c r="Z29" s="24" t="s">
        <v>89</v>
      </c>
    </row>
    <row r="30" ht="29" customHeight="1" spans="1:26" s="13" customFormat="1" x14ac:dyDescent="0.25">
      <c r="A30" s="14"/>
      <c r="B30" s="15"/>
      <c r="C30" s="15"/>
      <c r="D30" s="15"/>
      <c r="E30" s="16"/>
      <c r="F30" s="13"/>
      <c r="G30" s="20" t="s">
        <v>71</v>
      </c>
      <c r="H30" s="18"/>
      <c r="I30" s="29" t="s">
        <v>90</v>
      </c>
      <c r="J30" s="18"/>
      <c r="K30" s="20" t="s">
        <v>91</v>
      </c>
      <c r="L30" s="13"/>
      <c r="M30" s="20"/>
      <c r="N30" s="13"/>
      <c r="O30" s="31" t="s">
        <v>92</v>
      </c>
      <c r="P30" s="20"/>
      <c r="Q30" s="22" t="s">
        <v>93</v>
      </c>
      <c r="R30" s="22"/>
      <c r="S30" s="22"/>
      <c r="T30" s="13"/>
      <c r="U30" s="13"/>
      <c r="V30" s="13"/>
      <c r="W30" s="13"/>
      <c r="X30" s="13"/>
      <c r="Y30" s="13"/>
      <c r="Z30" s="24" t="s">
        <v>94</v>
      </c>
    </row>
    <row r="31" ht="29" customHeight="1" spans="1:26" s="13" customFormat="1" x14ac:dyDescent="0.25">
      <c r="A31" s="25"/>
      <c r="B31" s="16"/>
      <c r="C31" s="16"/>
      <c r="D31" s="16"/>
      <c r="E31" s="16"/>
      <c r="F31" s="13"/>
      <c r="G31" s="20" t="s">
        <v>95</v>
      </c>
      <c r="H31" s="18"/>
      <c r="I31" s="29" t="s">
        <v>22</v>
      </c>
      <c r="J31" s="18"/>
      <c r="K31" s="20" t="s">
        <v>96</v>
      </c>
      <c r="L31" s="13"/>
      <c r="M31" s="20"/>
      <c r="N31" s="13"/>
      <c r="O31" s="31" t="s">
        <v>97</v>
      </c>
      <c r="P31" s="20"/>
      <c r="Q31" s="22" t="s">
        <v>98</v>
      </c>
      <c r="R31" s="22"/>
      <c r="S31" s="22"/>
      <c r="T31" s="13"/>
      <c r="U31" s="13"/>
      <c r="V31" s="13"/>
      <c r="W31" s="13"/>
      <c r="X31" s="13"/>
      <c r="Y31" s="13"/>
      <c r="Z31" s="24"/>
    </row>
    <row r="32" ht="29" customHeight="1" spans="1:26" s="13" customFormat="1" x14ac:dyDescent="0.25">
      <c r="A32" s="25"/>
      <c r="B32" s="16"/>
      <c r="C32" s="16"/>
      <c r="D32" s="16"/>
      <c r="E32" s="16"/>
      <c r="F32" s="13"/>
      <c r="G32" s="20" t="s">
        <v>99</v>
      </c>
      <c r="H32" s="18"/>
      <c r="I32" s="32" t="s">
        <v>100</v>
      </c>
      <c r="J32" s="18"/>
      <c r="K32" s="20" t="s">
        <v>101</v>
      </c>
      <c r="L32" s="13"/>
      <c r="M32" s="20"/>
      <c r="N32" s="13"/>
      <c r="O32" s="31" t="s">
        <v>102</v>
      </c>
      <c r="P32" s="20"/>
      <c r="Q32" s="22" t="s">
        <v>103</v>
      </c>
      <c r="R32" s="22"/>
      <c r="S32" s="22"/>
      <c r="T32" s="13"/>
      <c r="U32" s="13"/>
      <c r="V32" s="13"/>
      <c r="W32" s="13"/>
      <c r="X32" s="13"/>
      <c r="Y32" s="13"/>
      <c r="Z32" s="24" t="s">
        <v>104</v>
      </c>
    </row>
    <row r="33" ht="29" customHeight="1" spans="1:26" s="13" customFormat="1" x14ac:dyDescent="0.25">
      <c r="A33" s="14"/>
      <c r="B33" s="15"/>
      <c r="C33" s="15"/>
      <c r="D33" s="15"/>
      <c r="E33" s="16"/>
      <c r="F33" s="13"/>
      <c r="G33" s="20" t="s">
        <v>105</v>
      </c>
      <c r="H33" s="18"/>
      <c r="I33" s="32" t="s">
        <v>106</v>
      </c>
      <c r="J33" s="18"/>
      <c r="K33" s="20" t="s">
        <v>107</v>
      </c>
      <c r="L33" s="13"/>
      <c r="M33" s="20"/>
      <c r="N33" s="13"/>
      <c r="O33" s="13"/>
      <c r="P33" s="20"/>
      <c r="Q33" s="22" t="s">
        <v>108</v>
      </c>
      <c r="R33" s="22"/>
      <c r="S33" s="22"/>
      <c r="T33" s="13"/>
      <c r="U33" s="13"/>
      <c r="V33" s="13"/>
      <c r="W33" s="13"/>
      <c r="X33" s="13"/>
      <c r="Y33" s="13"/>
      <c r="Z33" s="24" t="s">
        <v>109</v>
      </c>
    </row>
    <row r="34" ht="29" customHeight="1" spans="1:26" s="13" customFormat="1" x14ac:dyDescent="0.25">
      <c r="A34" s="14"/>
      <c r="B34" s="15"/>
      <c r="C34" s="15"/>
      <c r="D34" s="15"/>
      <c r="E34" s="16"/>
      <c r="F34" s="13"/>
      <c r="G34" s="20" t="s">
        <v>110</v>
      </c>
      <c r="H34" s="18"/>
      <c r="I34" s="33" t="s">
        <v>111</v>
      </c>
      <c r="J34" s="18"/>
      <c r="K34" s="20" t="s">
        <v>112</v>
      </c>
      <c r="L34" s="13"/>
      <c r="M34" s="20"/>
      <c r="N34" s="13"/>
      <c r="O34" s="20"/>
      <c r="P34" s="20"/>
      <c r="Q34" s="22" t="s">
        <v>113</v>
      </c>
      <c r="R34" s="34"/>
      <c r="S34" s="22"/>
      <c r="T34" s="13"/>
      <c r="U34" s="13"/>
      <c r="V34" s="13"/>
      <c r="W34" s="13"/>
      <c r="X34" s="13"/>
      <c r="Y34" s="13"/>
      <c r="Z34" s="24" t="s">
        <v>114</v>
      </c>
    </row>
    <row r="35" ht="29" customHeight="1" spans="1:26" s="13" customFormat="1" x14ac:dyDescent="0.25">
      <c r="A35" s="14"/>
      <c r="B35" s="15"/>
      <c r="C35" s="15"/>
      <c r="D35" s="15"/>
      <c r="E35" s="16"/>
      <c r="F35" s="13"/>
      <c r="G35" s="20" t="s">
        <v>115</v>
      </c>
      <c r="H35" s="18"/>
      <c r="I35" s="33" t="s">
        <v>116</v>
      </c>
      <c r="J35" s="18"/>
      <c r="K35" s="20" t="s">
        <v>117</v>
      </c>
      <c r="L35" s="13"/>
      <c r="M35" s="20"/>
      <c r="N35" s="13"/>
      <c r="O35" s="35">
        <v>2025</v>
      </c>
      <c r="P35" s="20"/>
      <c r="Q35" s="22" t="s">
        <v>118</v>
      </c>
      <c r="R35" s="34"/>
      <c r="S35" s="22"/>
      <c r="T35" s="13"/>
      <c r="U35" s="13"/>
      <c r="V35" s="13"/>
      <c r="W35" s="13"/>
      <c r="X35" s="13"/>
      <c r="Y35" s="13"/>
      <c r="Z35" s="24"/>
    </row>
    <row r="36" ht="29" customHeight="1" spans="1:26" s="13" customFormat="1" x14ac:dyDescent="0.25">
      <c r="A36" s="14"/>
      <c r="B36" s="15"/>
      <c r="C36" s="15"/>
      <c r="D36" s="15"/>
      <c r="E36" s="16"/>
      <c r="F36" s="13"/>
      <c r="G36" s="20" t="s">
        <v>88</v>
      </c>
      <c r="H36" s="18"/>
      <c r="I36" s="36" t="s">
        <v>119</v>
      </c>
      <c r="J36" s="18"/>
      <c r="K36" s="20" t="s">
        <v>120</v>
      </c>
      <c r="L36" s="13"/>
      <c r="M36" s="18"/>
      <c r="N36" s="13"/>
      <c r="O36" s="37">
        <v>2024</v>
      </c>
      <c r="P36" s="18"/>
      <c r="Q36" s="34" t="s">
        <v>121</v>
      </c>
      <c r="R36" s="22"/>
      <c r="S36" s="22"/>
      <c r="T36" s="13"/>
      <c r="U36" s="13"/>
      <c r="V36" s="13"/>
      <c r="W36" s="13"/>
      <c r="X36" s="13"/>
      <c r="Y36" s="13"/>
      <c r="Z36" s="24" t="s">
        <v>122</v>
      </c>
    </row>
    <row r="37" ht="29" customHeight="1" spans="1:26" s="13" customFormat="1" x14ac:dyDescent="0.25">
      <c r="A37" s="14"/>
      <c r="B37" s="15"/>
      <c r="C37" s="15"/>
      <c r="D37" s="15"/>
      <c r="E37" s="16"/>
      <c r="F37" s="13"/>
      <c r="G37" s="20" t="s">
        <v>93</v>
      </c>
      <c r="H37" s="18"/>
      <c r="I37" s="36" t="s">
        <v>123</v>
      </c>
      <c r="J37" s="18"/>
      <c r="K37" s="20" t="s">
        <v>124</v>
      </c>
      <c r="L37" s="13"/>
      <c r="M37" s="18"/>
      <c r="N37" s="13"/>
      <c r="O37" s="38">
        <v>2023</v>
      </c>
      <c r="P37" s="18"/>
      <c r="Q37" s="22" t="s">
        <v>125</v>
      </c>
      <c r="R37" s="20"/>
      <c r="S37" s="22"/>
      <c r="T37" s="13"/>
      <c r="U37" s="13"/>
      <c r="V37" s="13"/>
      <c r="W37" s="13"/>
      <c r="X37" s="13"/>
      <c r="Y37" s="13"/>
      <c r="Z37" s="24" t="s">
        <v>126</v>
      </c>
    </row>
    <row r="38" ht="29" customHeight="1" spans="1:26" s="13" customFormat="1" x14ac:dyDescent="0.25">
      <c r="A38" s="14"/>
      <c r="B38" s="15"/>
      <c r="C38" s="15"/>
      <c r="D38" s="15"/>
      <c r="E38" s="16"/>
      <c r="F38" s="13"/>
      <c r="G38" s="31" t="s">
        <v>127</v>
      </c>
      <c r="H38" s="18"/>
      <c r="I38" s="36" t="s">
        <v>128</v>
      </c>
      <c r="J38" s="18"/>
      <c r="K38" s="20"/>
      <c r="L38" s="13"/>
      <c r="M38" s="18"/>
      <c r="N38" s="13"/>
      <c r="O38" s="39">
        <v>2022</v>
      </c>
      <c r="P38" s="18"/>
      <c r="Q38" s="20" t="s">
        <v>129</v>
      </c>
      <c r="R38" s="22"/>
      <c r="S38" s="22"/>
      <c r="T38" s="13"/>
      <c r="U38" s="13"/>
      <c r="V38" s="13"/>
      <c r="W38" s="13"/>
      <c r="X38" s="13"/>
      <c r="Y38" s="13"/>
      <c r="Z38" s="24" t="s">
        <v>130</v>
      </c>
    </row>
    <row r="39" ht="29" customHeight="1" spans="1:26" s="13" customFormat="1" x14ac:dyDescent="0.25">
      <c r="A39" s="14"/>
      <c r="B39" s="15"/>
      <c r="C39" s="15"/>
      <c r="D39" s="15"/>
      <c r="E39" s="16"/>
      <c r="F39" s="13"/>
      <c r="G39" s="20" t="s">
        <v>131</v>
      </c>
      <c r="H39" s="18"/>
      <c r="I39" s="36" t="s">
        <v>132</v>
      </c>
      <c r="J39" s="18"/>
      <c r="K39" s="18"/>
      <c r="L39" s="13"/>
      <c r="M39" s="18"/>
      <c r="N39" s="13"/>
      <c r="O39" s="40">
        <v>2021</v>
      </c>
      <c r="P39" s="18"/>
      <c r="Q39" s="22" t="s">
        <v>133</v>
      </c>
      <c r="R39" s="22"/>
      <c r="S39" s="22"/>
      <c r="T39" s="13"/>
      <c r="U39" s="13"/>
      <c r="V39" s="13"/>
      <c r="W39" s="13"/>
      <c r="X39" s="13"/>
      <c r="Y39" s="13"/>
      <c r="Z39" s="24" t="s">
        <v>134</v>
      </c>
    </row>
    <row r="40" ht="29" customHeight="1" spans="1:26" s="13" customFormat="1" x14ac:dyDescent="0.25">
      <c r="A40" s="14"/>
      <c r="B40" s="15"/>
      <c r="C40" s="15"/>
      <c r="D40" s="15"/>
      <c r="E40" s="16"/>
      <c r="F40" s="13"/>
      <c r="G40" s="20" t="s">
        <v>108</v>
      </c>
      <c r="H40" s="18"/>
      <c r="I40" s="18"/>
      <c r="J40" s="18"/>
      <c r="K40" s="18"/>
      <c r="L40" s="13"/>
      <c r="M40" s="18"/>
      <c r="N40" s="13"/>
      <c r="O40" s="18"/>
      <c r="P40" s="18"/>
      <c r="Q40" s="22" t="s">
        <v>135</v>
      </c>
      <c r="R40" s="22"/>
      <c r="S40" s="22"/>
      <c r="T40" s="13"/>
      <c r="U40" s="13"/>
      <c r="V40" s="13"/>
      <c r="W40" s="13"/>
      <c r="X40" s="13"/>
      <c r="Y40" s="13"/>
      <c r="Z40" s="24" t="s">
        <v>136</v>
      </c>
    </row>
    <row r="41" ht="29" customHeight="1" spans="1:26" s="13" customFormat="1" x14ac:dyDescent="0.25">
      <c r="A41" s="14"/>
      <c r="B41" s="15"/>
      <c r="C41" s="15"/>
      <c r="D41" s="15"/>
      <c r="E41" s="16"/>
      <c r="F41" s="13"/>
      <c r="G41" s="20" t="s">
        <v>137</v>
      </c>
      <c r="H41" s="18"/>
      <c r="I41" s="18"/>
      <c r="J41" s="18"/>
      <c r="K41" s="18"/>
      <c r="L41" s="13"/>
      <c r="M41" s="18"/>
      <c r="N41" s="13"/>
      <c r="O41" s="18"/>
      <c r="P41" s="18"/>
      <c r="Q41" s="22" t="s">
        <v>138</v>
      </c>
      <c r="R41" s="22"/>
      <c r="S41" s="22"/>
      <c r="T41" s="13"/>
      <c r="U41" s="13"/>
      <c r="V41" s="13"/>
      <c r="W41" s="13"/>
      <c r="X41" s="13"/>
      <c r="Y41" s="13"/>
      <c r="Z41" s="24" t="s">
        <v>139</v>
      </c>
    </row>
    <row r="42" ht="29" customHeight="1" spans="1:26" s="13" customFormat="1" x14ac:dyDescent="0.25">
      <c r="A42" s="25"/>
      <c r="B42" s="16"/>
      <c r="C42" s="16"/>
      <c r="D42" s="16"/>
      <c r="E42" s="16"/>
      <c r="F42" s="13"/>
      <c r="G42" s="31" t="s">
        <v>140</v>
      </c>
      <c r="H42" s="18"/>
      <c r="I42" s="18"/>
      <c r="J42" s="18"/>
      <c r="K42" s="18"/>
      <c r="L42" s="13"/>
      <c r="M42" s="18"/>
      <c r="N42" s="13"/>
      <c r="O42" s="18"/>
      <c r="P42" s="18"/>
      <c r="Q42" s="22" t="s">
        <v>141</v>
      </c>
      <c r="R42" s="22"/>
      <c r="S42" s="22"/>
      <c r="T42" s="13"/>
      <c r="U42" s="13"/>
      <c r="V42" s="13"/>
      <c r="W42" s="13"/>
      <c r="X42" s="13"/>
      <c r="Y42" s="13"/>
      <c r="Z42" s="24" t="s">
        <v>142</v>
      </c>
    </row>
    <row r="43" ht="29" customHeight="1" spans="1:26" s="13" customFormat="1" x14ac:dyDescent="0.25">
      <c r="A43" s="25"/>
      <c r="B43" s="16"/>
      <c r="C43" s="16"/>
      <c r="D43" s="16"/>
      <c r="E43" s="16"/>
      <c r="F43" s="13"/>
      <c r="G43" s="20" t="s">
        <v>143</v>
      </c>
      <c r="H43" s="18"/>
      <c r="I43" s="18"/>
      <c r="J43" s="18"/>
      <c r="K43" s="18"/>
      <c r="L43" s="13"/>
      <c r="M43" s="18"/>
      <c r="N43" s="13"/>
      <c r="O43" s="18"/>
      <c r="P43" s="18"/>
      <c r="Q43" s="22" t="s">
        <v>144</v>
      </c>
      <c r="R43" s="22"/>
      <c r="S43" s="22"/>
      <c r="T43" s="13"/>
      <c r="U43" s="13"/>
      <c r="V43" s="13"/>
      <c r="W43" s="13"/>
      <c r="X43" s="13"/>
      <c r="Y43" s="13"/>
      <c r="Z43" s="24"/>
    </row>
    <row r="44" ht="29" customHeight="1" spans="1:26" s="13" customFormat="1" x14ac:dyDescent="0.25">
      <c r="A44" s="25"/>
      <c r="B44" s="16"/>
      <c r="C44" s="16"/>
      <c r="D44" s="16"/>
      <c r="E44" s="16"/>
      <c r="F44" s="13"/>
      <c r="G44" s="20" t="s">
        <v>121</v>
      </c>
      <c r="H44" s="18"/>
      <c r="I44" s="18"/>
      <c r="J44" s="18"/>
      <c r="K44" s="18"/>
      <c r="L44" s="13"/>
      <c r="M44" s="18"/>
      <c r="N44" s="13"/>
      <c r="O44" s="18"/>
      <c r="P44" s="18"/>
      <c r="Q44" s="22" t="s">
        <v>145</v>
      </c>
      <c r="R44" s="22"/>
      <c r="S44" s="22"/>
      <c r="T44" s="13"/>
      <c r="U44" s="13"/>
      <c r="V44" s="13"/>
      <c r="W44" s="13"/>
      <c r="X44" s="13"/>
      <c r="Y44" s="13"/>
      <c r="Z44" s="24" t="s">
        <v>146</v>
      </c>
    </row>
    <row r="45" ht="29" customHeight="1" spans="1:26" s="13" customFormat="1" x14ac:dyDescent="0.25">
      <c r="A45" s="25"/>
      <c r="B45" s="16"/>
      <c r="C45" s="16"/>
      <c r="D45" s="16"/>
      <c r="E45" s="16"/>
      <c r="F45" s="13"/>
      <c r="G45" s="20" t="s">
        <v>147</v>
      </c>
      <c r="H45" s="18"/>
      <c r="I45" s="18"/>
      <c r="J45" s="18"/>
      <c r="K45" s="18"/>
      <c r="L45" s="13"/>
      <c r="M45" s="18"/>
      <c r="N45" s="13"/>
      <c r="O45" s="18"/>
      <c r="P45" s="18"/>
      <c r="Q45" s="22" t="s">
        <v>148</v>
      </c>
      <c r="R45" s="22"/>
      <c r="S45" s="22"/>
      <c r="T45" s="13"/>
      <c r="U45" s="13"/>
      <c r="V45" s="13"/>
      <c r="W45" s="13"/>
      <c r="X45" s="13"/>
      <c r="Y45" s="13"/>
      <c r="Z45" s="24" t="s">
        <v>149</v>
      </c>
    </row>
    <row r="46" ht="29" customHeight="1" spans="1:26" s="13" customFormat="1" x14ac:dyDescent="0.25">
      <c r="A46" s="25"/>
      <c r="B46" s="16"/>
      <c r="C46" s="16"/>
      <c r="D46" s="16"/>
      <c r="E46" s="16"/>
      <c r="F46" s="13"/>
      <c r="G46" s="20" t="s">
        <v>150</v>
      </c>
      <c r="H46" s="18"/>
      <c r="I46" s="18"/>
      <c r="J46" s="18"/>
      <c r="K46" s="18"/>
      <c r="L46" s="13"/>
      <c r="M46" s="18"/>
      <c r="N46" s="13"/>
      <c r="O46" s="18"/>
      <c r="P46" s="18"/>
      <c r="Q46" s="22" t="s">
        <v>151</v>
      </c>
      <c r="R46" s="22"/>
      <c r="S46" s="22"/>
      <c r="T46" s="13"/>
      <c r="U46" s="13"/>
      <c r="V46" s="13"/>
      <c r="W46" s="13"/>
      <c r="X46" s="13"/>
      <c r="Y46" s="13"/>
      <c r="Z46" s="24" t="s">
        <v>152</v>
      </c>
    </row>
    <row r="47" ht="29" customHeight="1" spans="1:26" s="13" customFormat="1" x14ac:dyDescent="0.25">
      <c r="A47" s="25"/>
      <c r="B47" s="16"/>
      <c r="C47" s="16"/>
      <c r="D47" s="16"/>
      <c r="E47" s="16"/>
      <c r="F47" s="13"/>
      <c r="G47" s="20" t="s">
        <v>153</v>
      </c>
      <c r="H47" s="18"/>
      <c r="I47" s="18"/>
      <c r="J47" s="18"/>
      <c r="K47" s="18"/>
      <c r="L47" s="13"/>
      <c r="M47" s="18"/>
      <c r="N47" s="13"/>
      <c r="O47" s="18"/>
      <c r="P47" s="18"/>
      <c r="Q47" s="22" t="s">
        <v>154</v>
      </c>
      <c r="R47" s="22"/>
      <c r="S47" s="22"/>
      <c r="T47" s="13"/>
      <c r="U47" s="13"/>
      <c r="V47" s="13"/>
      <c r="W47" s="13"/>
      <c r="X47" s="13"/>
      <c r="Y47" s="13"/>
      <c r="Z47" s="24" t="s">
        <v>155</v>
      </c>
    </row>
    <row r="48" ht="29" customHeight="1" spans="1:26" s="13" customFormat="1" x14ac:dyDescent="0.25">
      <c r="A48" s="25"/>
      <c r="B48" s="16"/>
      <c r="C48" s="16"/>
      <c r="D48" s="16"/>
      <c r="E48" s="16"/>
      <c r="F48" s="13"/>
      <c r="G48" s="20" t="s">
        <v>129</v>
      </c>
      <c r="H48" s="18"/>
      <c r="I48" s="18"/>
      <c r="J48" s="18"/>
      <c r="K48" s="24" t="s">
        <v>29</v>
      </c>
      <c r="L48" s="13"/>
      <c r="M48" s="18"/>
      <c r="N48" s="13"/>
      <c r="O48" s="18"/>
      <c r="P48" s="18"/>
      <c r="Q48" s="22" t="s">
        <v>156</v>
      </c>
      <c r="R48" s="22"/>
      <c r="S48" s="22"/>
      <c r="T48" s="13"/>
      <c r="U48" s="13"/>
      <c r="V48" s="13"/>
      <c r="W48" s="13"/>
      <c r="X48" s="13"/>
      <c r="Y48" s="13"/>
      <c r="Z48" s="24"/>
    </row>
    <row r="49" ht="29" customHeight="1" spans="1:26" s="13" customFormat="1" x14ac:dyDescent="0.25">
      <c r="A49" s="25"/>
      <c r="B49" s="16"/>
      <c r="C49" s="16"/>
      <c r="D49" s="16"/>
      <c r="E49" s="16"/>
      <c r="F49" s="13"/>
      <c r="G49" s="41" t="s">
        <v>133</v>
      </c>
      <c r="H49" s="18"/>
      <c r="I49" s="18"/>
      <c r="J49" s="18"/>
      <c r="K49" s="24" t="s">
        <v>37</v>
      </c>
      <c r="L49" s="13"/>
      <c r="M49" s="18"/>
      <c r="N49" s="13"/>
      <c r="O49" s="18"/>
      <c r="P49" s="18"/>
      <c r="Q49" s="22" t="s">
        <v>157</v>
      </c>
      <c r="R49" s="22"/>
      <c r="S49" s="22"/>
      <c r="T49" s="13"/>
      <c r="U49" s="13"/>
      <c r="V49" s="13"/>
      <c r="W49" s="13"/>
      <c r="X49" s="13"/>
      <c r="Y49" s="13"/>
      <c r="Z49" s="24" t="s">
        <v>158</v>
      </c>
    </row>
    <row r="50" ht="29" customHeight="1" spans="1:26" s="13" customFormat="1" x14ac:dyDescent="0.25">
      <c r="A50" s="25"/>
      <c r="B50" s="16"/>
      <c r="C50" s="16"/>
      <c r="D50" s="16"/>
      <c r="E50" s="16"/>
      <c r="F50" s="28"/>
      <c r="G50" s="41" t="s">
        <v>159</v>
      </c>
      <c r="H50" s="18"/>
      <c r="I50" s="18"/>
      <c r="J50" s="18"/>
      <c r="K50" s="24" t="s">
        <v>44</v>
      </c>
      <c r="L50" s="13"/>
      <c r="M50" s="18"/>
      <c r="N50" s="13"/>
      <c r="O50" s="18"/>
      <c r="P50" s="18"/>
      <c r="Q50" s="22" t="s">
        <v>160</v>
      </c>
      <c r="R50" s="22"/>
      <c r="S50" s="22"/>
      <c r="T50" s="13"/>
      <c r="U50" s="13"/>
      <c r="V50" s="13"/>
      <c r="W50" s="13"/>
      <c r="X50" s="13"/>
      <c r="Y50" s="13"/>
      <c r="Z50" s="42"/>
    </row>
    <row r="51" ht="29" customHeight="1" spans="1:19" s="13" customFormat="1" x14ac:dyDescent="0.25">
      <c r="A51" s="25"/>
      <c r="B51" s="16"/>
      <c r="C51" s="16"/>
      <c r="D51" s="16"/>
      <c r="E51" s="16"/>
      <c r="F51" s="28"/>
      <c r="G51" s="41" t="s">
        <v>161</v>
      </c>
      <c r="H51" s="18"/>
      <c r="I51" s="18"/>
      <c r="J51" s="18"/>
      <c r="K51" s="24" t="s">
        <v>57</v>
      </c>
      <c r="L51" s="13"/>
      <c r="M51" s="18"/>
      <c r="N51" s="13"/>
      <c r="O51" s="18"/>
      <c r="P51" s="18"/>
      <c r="Q51" s="22" t="s">
        <v>162</v>
      </c>
      <c r="R51" s="22"/>
      <c r="S51" s="22"/>
    </row>
    <row r="52" ht="29" customHeight="1" spans="1:19" s="13" customFormat="1" x14ac:dyDescent="0.25">
      <c r="A52" s="14"/>
      <c r="B52" s="16"/>
      <c r="C52" s="15"/>
      <c r="D52" s="15"/>
      <c r="E52" s="16"/>
      <c r="F52" s="28"/>
      <c r="G52" s="41" t="s">
        <v>163</v>
      </c>
      <c r="H52" s="18"/>
      <c r="I52" s="18"/>
      <c r="J52" s="18"/>
      <c r="K52" s="24" t="s">
        <v>62</v>
      </c>
      <c r="L52" s="13"/>
      <c r="M52" s="18"/>
      <c r="N52" s="13"/>
      <c r="O52" s="18"/>
      <c r="P52" s="18"/>
      <c r="Q52" s="22" t="s">
        <v>164</v>
      </c>
      <c r="R52" s="22"/>
      <c r="S52" s="22"/>
    </row>
    <row r="53" ht="29" customHeight="1" spans="1:19" s="13" customFormat="1" x14ac:dyDescent="0.25">
      <c r="A53" s="25"/>
      <c r="B53" s="16"/>
      <c r="C53" s="16"/>
      <c r="D53" s="16"/>
      <c r="E53" s="16"/>
      <c r="F53" s="13"/>
      <c r="G53" s="41" t="s">
        <v>141</v>
      </c>
      <c r="H53" s="18"/>
      <c r="I53" s="18"/>
      <c r="J53" s="18"/>
      <c r="K53" s="24" t="s">
        <v>67</v>
      </c>
      <c r="L53" s="13"/>
      <c r="M53" s="18"/>
      <c r="N53" s="13"/>
      <c r="O53" s="18"/>
      <c r="P53" s="18"/>
      <c r="Q53" s="22" t="s">
        <v>165</v>
      </c>
      <c r="R53" s="22"/>
      <c r="S53" s="22"/>
    </row>
    <row r="54" ht="29" customHeight="1" spans="1:19" s="13" customFormat="1" x14ac:dyDescent="0.25">
      <c r="A54" s="25"/>
      <c r="B54" s="16"/>
      <c r="C54" s="16"/>
      <c r="D54" s="16"/>
      <c r="E54" s="16"/>
      <c r="F54" s="13"/>
      <c r="G54" s="41" t="s">
        <v>166</v>
      </c>
      <c r="H54" s="18"/>
      <c r="I54" s="18"/>
      <c r="J54" s="18"/>
      <c r="K54" s="24" t="s">
        <v>72</v>
      </c>
      <c r="L54" s="13"/>
      <c r="M54" s="18"/>
      <c r="N54" s="13"/>
      <c r="O54" s="18"/>
      <c r="P54" s="18"/>
      <c r="Q54" s="22" t="s">
        <v>167</v>
      </c>
      <c r="R54" s="22"/>
      <c r="S54" s="22"/>
    </row>
    <row r="55" ht="29" customHeight="1" spans="1:19" s="13" customFormat="1" x14ac:dyDescent="0.25">
      <c r="A55" s="25"/>
      <c r="B55" s="16"/>
      <c r="C55" s="16"/>
      <c r="D55" s="16"/>
      <c r="E55" s="16"/>
      <c r="F55" s="13"/>
      <c r="G55" s="41" t="s">
        <v>144</v>
      </c>
      <c r="H55" s="18"/>
      <c r="I55" s="18"/>
      <c r="J55" s="18"/>
      <c r="K55" s="24" t="s">
        <v>77</v>
      </c>
      <c r="L55" s="13"/>
      <c r="M55" s="18"/>
      <c r="N55" s="13"/>
      <c r="O55" s="18"/>
      <c r="P55" s="18"/>
      <c r="Q55" s="43" t="s">
        <v>168</v>
      </c>
      <c r="R55" s="22"/>
      <c r="S55" s="22"/>
    </row>
    <row r="56" ht="29" customHeight="1" spans="1:19" s="13" customFormat="1" x14ac:dyDescent="0.25">
      <c r="A56" s="25"/>
      <c r="B56" s="16"/>
      <c r="C56" s="16"/>
      <c r="D56" s="16"/>
      <c r="E56" s="16"/>
      <c r="F56" s="13"/>
      <c r="G56" s="41" t="s">
        <v>169</v>
      </c>
      <c r="H56" s="18"/>
      <c r="I56" s="18"/>
      <c r="J56" s="18"/>
      <c r="K56" s="24" t="s">
        <v>83</v>
      </c>
      <c r="L56" s="13"/>
      <c r="M56" s="18"/>
      <c r="N56" s="13"/>
      <c r="O56" s="18"/>
      <c r="P56" s="18"/>
      <c r="Q56" s="22"/>
      <c r="R56" s="22"/>
      <c r="S56" s="22"/>
    </row>
    <row r="57" ht="29" customHeight="1" spans="1:19" s="13" customFormat="1" x14ac:dyDescent="0.25">
      <c r="A57" s="25"/>
      <c r="B57" s="16"/>
      <c r="C57" s="16"/>
      <c r="D57" s="16"/>
      <c r="E57" s="16"/>
      <c r="F57" s="13"/>
      <c r="G57" s="41" t="s">
        <v>170</v>
      </c>
      <c r="H57" s="18"/>
      <c r="I57" s="18"/>
      <c r="J57" s="18"/>
      <c r="K57" s="24" t="s">
        <v>89</v>
      </c>
      <c r="L57" s="13"/>
      <c r="M57" s="18"/>
      <c r="N57" s="13"/>
      <c r="O57" s="18"/>
      <c r="P57" s="18"/>
      <c r="Q57" s="22"/>
      <c r="R57" s="22"/>
      <c r="S57" s="22"/>
    </row>
    <row r="58" ht="29" customHeight="1" spans="1:19" s="13" customFormat="1" x14ac:dyDescent="0.25">
      <c r="A58" s="25"/>
      <c r="B58" s="16"/>
      <c r="C58" s="16"/>
      <c r="D58" s="16"/>
      <c r="E58" s="16"/>
      <c r="F58" s="13"/>
      <c r="G58" s="41" t="s">
        <v>148</v>
      </c>
      <c r="H58" s="18"/>
      <c r="I58" s="18"/>
      <c r="J58" s="18"/>
      <c r="K58" s="24" t="s">
        <v>94</v>
      </c>
      <c r="L58" s="13"/>
      <c r="M58" s="18"/>
      <c r="N58" s="13"/>
      <c r="O58" s="18"/>
      <c r="P58" s="18"/>
      <c r="Q58" s="22"/>
      <c r="R58" s="22"/>
      <c r="S58" s="22"/>
    </row>
    <row r="59" ht="29" customHeight="1" spans="1:19" s="13" customFormat="1" x14ac:dyDescent="0.25">
      <c r="A59" s="25"/>
      <c r="B59" s="16"/>
      <c r="C59" s="16"/>
      <c r="D59" s="16"/>
      <c r="E59" s="16"/>
      <c r="F59" s="13"/>
      <c r="G59" s="41" t="s">
        <v>171</v>
      </c>
      <c r="H59" s="18"/>
      <c r="I59" s="18"/>
      <c r="J59" s="18"/>
      <c r="K59" s="24" t="s">
        <v>104</v>
      </c>
      <c r="L59" s="13"/>
      <c r="M59" s="18"/>
      <c r="N59" s="13"/>
      <c r="O59" s="18"/>
      <c r="P59" s="18"/>
      <c r="Q59" s="13"/>
      <c r="R59" s="13"/>
      <c r="S59" s="22"/>
    </row>
    <row r="60" ht="29" customHeight="1" spans="1:19" s="13" customFormat="1" x14ac:dyDescent="0.25">
      <c r="A60" s="14"/>
      <c r="B60" s="15"/>
      <c r="C60" s="15"/>
      <c r="D60" s="15"/>
      <c r="E60" s="16"/>
      <c r="F60" s="13"/>
      <c r="G60" s="41" t="s">
        <v>151</v>
      </c>
      <c r="H60" s="18"/>
      <c r="I60" s="18"/>
      <c r="J60" s="18"/>
      <c r="K60" s="24" t="s">
        <v>109</v>
      </c>
      <c r="L60" s="13"/>
      <c r="M60" s="18"/>
      <c r="N60" s="13"/>
      <c r="O60" s="18"/>
      <c r="P60" s="18"/>
      <c r="Q60" s="13"/>
      <c r="R60" s="13"/>
      <c r="S60" s="22"/>
    </row>
    <row r="61" ht="29" customHeight="1" spans="1:19" s="13" customFormat="1" x14ac:dyDescent="0.25">
      <c r="A61" s="14"/>
      <c r="B61" s="15"/>
      <c r="C61" s="15"/>
      <c r="D61" s="15"/>
      <c r="E61" s="16"/>
      <c r="F61" s="13"/>
      <c r="G61" s="41" t="s">
        <v>172</v>
      </c>
      <c r="H61" s="18"/>
      <c r="I61" s="18"/>
      <c r="J61" s="18"/>
      <c r="K61" s="24" t="s">
        <v>114</v>
      </c>
      <c r="L61" s="13"/>
      <c r="M61" s="18"/>
      <c r="N61" s="13"/>
      <c r="O61" s="18"/>
      <c r="P61" s="18"/>
      <c r="Q61" s="13"/>
      <c r="R61" s="13"/>
      <c r="S61" s="22"/>
    </row>
    <row r="62" ht="29" customHeight="1" spans="1:19" s="13" customFormat="1" x14ac:dyDescent="0.25">
      <c r="A62" s="14"/>
      <c r="B62" s="15"/>
      <c r="C62" s="15"/>
      <c r="D62" s="15"/>
      <c r="E62" s="16"/>
      <c r="F62" s="13"/>
      <c r="G62" s="41" t="s">
        <v>173</v>
      </c>
      <c r="H62" s="18"/>
      <c r="I62" s="18"/>
      <c r="J62" s="18"/>
      <c r="K62" s="24" t="s">
        <v>122</v>
      </c>
      <c r="L62" s="13"/>
      <c r="M62" s="18"/>
      <c r="N62" s="13"/>
      <c r="O62" s="18"/>
      <c r="P62" s="18"/>
      <c r="Q62" s="13"/>
      <c r="R62" s="13"/>
      <c r="S62" s="22"/>
    </row>
    <row r="63" ht="29" customHeight="1" spans="1:19" s="13" customFormat="1" x14ac:dyDescent="0.25">
      <c r="A63" s="14"/>
      <c r="B63" s="15"/>
      <c r="C63" s="15"/>
      <c r="D63" s="15"/>
      <c r="E63" s="16"/>
      <c r="F63" s="13"/>
      <c r="G63" s="41" t="s">
        <v>103</v>
      </c>
      <c r="H63" s="18"/>
      <c r="I63" s="18"/>
      <c r="J63" s="18"/>
      <c r="K63" s="24"/>
      <c r="L63" s="13"/>
      <c r="M63" s="18"/>
      <c r="N63" s="13"/>
      <c r="O63" s="18"/>
      <c r="P63" s="18"/>
      <c r="Q63" s="13"/>
      <c r="R63" s="13"/>
      <c r="S63" s="22"/>
    </row>
    <row r="64" ht="29" customHeight="1" spans="1:19" s="13" customFormat="1" x14ac:dyDescent="0.25">
      <c r="A64" s="25"/>
      <c r="B64" s="16"/>
      <c r="C64" s="16"/>
      <c r="D64" s="16"/>
      <c r="E64" s="16"/>
      <c r="F64" s="13"/>
      <c r="G64" s="41" t="s">
        <v>174</v>
      </c>
      <c r="H64" s="18"/>
      <c r="I64" s="18"/>
      <c r="J64" s="18"/>
      <c r="K64" s="24" t="s">
        <v>126</v>
      </c>
      <c r="L64" s="13"/>
      <c r="M64" s="18"/>
      <c r="N64" s="13"/>
      <c r="O64" s="18"/>
      <c r="P64" s="18"/>
      <c r="Q64" s="13"/>
      <c r="R64" s="13"/>
      <c r="S64" s="22"/>
    </row>
    <row r="65" ht="29" customHeight="1" spans="1:19" s="13" customFormat="1" x14ac:dyDescent="0.25">
      <c r="A65" s="25"/>
      <c r="B65" s="16"/>
      <c r="C65" s="16"/>
      <c r="D65" s="16"/>
      <c r="E65" s="16"/>
      <c r="F65" s="13"/>
      <c r="G65" s="41" t="s">
        <v>175</v>
      </c>
      <c r="H65" s="18"/>
      <c r="I65" s="18"/>
      <c r="J65" s="18"/>
      <c r="K65" s="24" t="s">
        <v>130</v>
      </c>
      <c r="L65" s="13"/>
      <c r="M65" s="18"/>
      <c r="N65" s="13"/>
      <c r="O65" s="18"/>
      <c r="P65" s="18"/>
      <c r="Q65" s="13"/>
      <c r="R65" s="13"/>
      <c r="S65" s="22"/>
    </row>
    <row r="66" ht="29" customHeight="1" spans="1:19" s="13" customFormat="1" x14ac:dyDescent="0.25">
      <c r="A66" s="25"/>
      <c r="B66" s="16"/>
      <c r="C66" s="16"/>
      <c r="D66" s="16"/>
      <c r="E66" s="16"/>
      <c r="F66" s="13"/>
      <c r="G66" s="41" t="s">
        <v>176</v>
      </c>
      <c r="H66" s="18"/>
      <c r="I66" s="18"/>
      <c r="J66" s="18"/>
      <c r="K66" s="24" t="s">
        <v>134</v>
      </c>
      <c r="L66" s="13"/>
      <c r="M66" s="18"/>
      <c r="N66" s="13"/>
      <c r="O66" s="18"/>
      <c r="P66" s="18"/>
      <c r="Q66" s="13"/>
      <c r="R66" s="13"/>
      <c r="S66" s="22"/>
    </row>
    <row r="67" ht="29" customHeight="1" spans="1:19" s="13" customFormat="1" x14ac:dyDescent="0.25">
      <c r="A67" s="14"/>
      <c r="B67" s="15"/>
      <c r="C67" s="15"/>
      <c r="D67" s="15"/>
      <c r="E67" s="16"/>
      <c r="F67" s="13"/>
      <c r="G67" s="41" t="s">
        <v>177</v>
      </c>
      <c r="H67" s="18"/>
      <c r="I67" s="18"/>
      <c r="J67" s="18"/>
      <c r="K67" s="24" t="s">
        <v>136</v>
      </c>
      <c r="L67" s="13"/>
      <c r="M67" s="18"/>
      <c r="N67" s="13"/>
      <c r="O67" s="18"/>
      <c r="P67" s="18"/>
      <c r="Q67" s="13"/>
      <c r="R67" s="13"/>
      <c r="S67" s="22"/>
    </row>
    <row r="68" ht="29" customHeight="1" spans="1:19" s="13" customFormat="1" x14ac:dyDescent="0.25">
      <c r="A68" s="14"/>
      <c r="B68" s="15"/>
      <c r="C68" s="15"/>
      <c r="D68" s="15"/>
      <c r="E68" s="16"/>
      <c r="F68" s="13"/>
      <c r="G68" s="41" t="s">
        <v>178</v>
      </c>
      <c r="H68" s="18"/>
      <c r="I68" s="18"/>
      <c r="J68" s="18"/>
      <c r="K68" s="24" t="s">
        <v>139</v>
      </c>
      <c r="L68" s="13"/>
      <c r="M68" s="18"/>
      <c r="N68" s="13"/>
      <c r="O68" s="18"/>
      <c r="P68" s="18"/>
      <c r="Q68" s="13"/>
      <c r="R68" s="13"/>
      <c r="S68" s="22"/>
    </row>
    <row r="69" ht="29" customHeight="1" spans="1:19" s="13" customFormat="1" x14ac:dyDescent="0.25">
      <c r="A69" s="44"/>
      <c r="B69" s="45"/>
      <c r="C69" s="45"/>
      <c r="D69" s="45"/>
      <c r="E69" s="16"/>
      <c r="F69" s="13"/>
      <c r="G69" s="46" t="s">
        <v>179</v>
      </c>
      <c r="H69" s="18"/>
      <c r="I69" s="18"/>
      <c r="J69" s="18"/>
      <c r="K69" s="24"/>
      <c r="L69" s="13"/>
      <c r="M69" s="18"/>
      <c r="N69" s="13"/>
      <c r="O69" s="18"/>
      <c r="P69" s="18"/>
      <c r="Q69" s="13"/>
      <c r="R69" s="13"/>
      <c r="S69" s="22"/>
    </row>
    <row r="70" ht="29" customHeight="1" spans="1:19" s="13" customFormat="1" x14ac:dyDescent="0.25">
      <c r="A70" s="25"/>
      <c r="B70" s="16"/>
      <c r="C70" s="16"/>
      <c r="D70" s="16"/>
      <c r="E70" s="16"/>
      <c r="F70" s="13"/>
      <c r="G70" s="41" t="s">
        <v>180</v>
      </c>
      <c r="H70" s="18"/>
      <c r="I70" s="18"/>
      <c r="J70" s="18"/>
      <c r="K70" s="24" t="s">
        <v>142</v>
      </c>
      <c r="L70" s="13"/>
      <c r="M70" s="18"/>
      <c r="N70" s="13"/>
      <c r="O70" s="18"/>
      <c r="P70" s="18"/>
      <c r="Q70" s="13"/>
      <c r="R70" s="13"/>
      <c r="S70" s="22"/>
    </row>
    <row r="71" ht="29" customHeight="1" spans="1:19" s="13" customFormat="1" x14ac:dyDescent="0.25">
      <c r="A71" s="25"/>
      <c r="B71" s="16"/>
      <c r="C71" s="16"/>
      <c r="D71" s="16"/>
      <c r="E71" s="16"/>
      <c r="F71" s="13"/>
      <c r="G71" s="20" t="s">
        <v>181</v>
      </c>
      <c r="H71" s="18"/>
      <c r="I71" s="18"/>
      <c r="J71" s="18"/>
      <c r="K71" s="24" t="s">
        <v>146</v>
      </c>
      <c r="L71" s="13"/>
      <c r="M71" s="18"/>
      <c r="N71" s="13"/>
      <c r="O71" s="18"/>
      <c r="P71" s="18"/>
      <c r="Q71" s="13"/>
      <c r="R71" s="13"/>
      <c r="S71" s="22"/>
    </row>
    <row r="72" ht="29" customHeight="1" spans="1:19" s="13" customFormat="1" x14ac:dyDescent="0.25">
      <c r="A72" s="25"/>
      <c r="B72" s="16"/>
      <c r="C72" s="16"/>
      <c r="D72" s="16"/>
      <c r="E72" s="16"/>
      <c r="F72" s="13"/>
      <c r="G72" s="20" t="s">
        <v>156</v>
      </c>
      <c r="H72" s="18"/>
      <c r="I72" s="18"/>
      <c r="J72" s="18"/>
      <c r="K72" s="24" t="s">
        <v>149</v>
      </c>
      <c r="L72" s="13"/>
      <c r="M72" s="18"/>
      <c r="N72" s="13"/>
      <c r="O72" s="18"/>
      <c r="P72" s="18"/>
      <c r="Q72" s="13"/>
      <c r="R72" s="13"/>
      <c r="S72" s="22"/>
    </row>
    <row r="73" ht="29" customHeight="1" spans="1:19" s="13" customFormat="1" x14ac:dyDescent="0.25">
      <c r="A73" s="25"/>
      <c r="B73" s="16"/>
      <c r="C73" s="16"/>
      <c r="D73" s="16"/>
      <c r="E73" s="16"/>
      <c r="F73" s="28"/>
      <c r="G73" s="20" t="s">
        <v>182</v>
      </c>
      <c r="H73" s="18"/>
      <c r="I73" s="18"/>
      <c r="J73" s="18"/>
      <c r="K73" s="24" t="s">
        <v>152</v>
      </c>
      <c r="L73" s="13"/>
      <c r="M73" s="18"/>
      <c r="N73" s="13"/>
      <c r="O73" s="18"/>
      <c r="P73" s="18"/>
      <c r="Q73" s="13"/>
      <c r="R73" s="13"/>
      <c r="S73" s="22"/>
    </row>
    <row r="74" ht="29" customHeight="1" spans="1:19" s="13" customFormat="1" x14ac:dyDescent="0.25">
      <c r="A74" s="25"/>
      <c r="B74" s="16"/>
      <c r="C74" s="16"/>
      <c r="D74" s="16"/>
      <c r="E74" s="16"/>
      <c r="F74" s="13"/>
      <c r="G74" s="20" t="s">
        <v>183</v>
      </c>
      <c r="H74" s="18"/>
      <c r="I74" s="18"/>
      <c r="J74" s="18"/>
      <c r="K74" s="24" t="s">
        <v>155</v>
      </c>
      <c r="L74" s="13"/>
      <c r="M74" s="18"/>
      <c r="N74" s="13"/>
      <c r="O74" s="18"/>
      <c r="P74" s="18"/>
      <c r="Q74" s="13"/>
      <c r="R74" s="13"/>
      <c r="S74" s="22"/>
    </row>
    <row r="75" ht="29" customHeight="1" spans="1:19" s="13" customFormat="1" x14ac:dyDescent="0.25">
      <c r="A75" s="14"/>
      <c r="B75" s="15"/>
      <c r="C75" s="15"/>
      <c r="D75" s="15"/>
      <c r="E75" s="16"/>
      <c r="F75" s="28" t="s">
        <v>184</v>
      </c>
      <c r="G75" s="20" t="s">
        <v>185</v>
      </c>
      <c r="H75" s="18"/>
      <c r="I75" s="18"/>
      <c r="J75" s="18"/>
      <c r="K75" s="24" t="s">
        <v>158</v>
      </c>
      <c r="L75" s="13"/>
      <c r="M75" s="18"/>
      <c r="N75" s="13"/>
      <c r="O75" s="18"/>
      <c r="P75" s="18"/>
      <c r="Q75" s="13"/>
      <c r="R75" s="13"/>
      <c r="S75" s="22"/>
    </row>
    <row r="76" ht="29" customHeight="1" spans="1:19" s="13" customFormat="1" x14ac:dyDescent="0.25">
      <c r="A76" s="14"/>
      <c r="B76" s="47"/>
      <c r="C76" s="47"/>
      <c r="D76" s="15"/>
      <c r="E76" s="16"/>
      <c r="F76" s="13"/>
      <c r="G76" s="20" t="s">
        <v>186</v>
      </c>
      <c r="H76" s="18"/>
      <c r="I76" s="18"/>
      <c r="J76" s="18"/>
      <c r="K76" s="18"/>
      <c r="L76" s="13"/>
      <c r="M76" s="18"/>
      <c r="N76" s="13"/>
      <c r="O76" s="18"/>
      <c r="P76" s="18"/>
      <c r="Q76" s="13"/>
      <c r="R76" s="13"/>
      <c r="S76" s="22"/>
    </row>
    <row r="77" ht="29" customHeight="1" spans="1:19" s="13" customFormat="1" x14ac:dyDescent="0.25">
      <c r="A77" s="14"/>
      <c r="B77" s="15"/>
      <c r="C77" s="15"/>
      <c r="D77" s="15"/>
      <c r="E77" s="16"/>
      <c r="F77" s="13"/>
      <c r="G77" s="20" t="s">
        <v>187</v>
      </c>
      <c r="H77" s="18"/>
      <c r="I77" s="18"/>
      <c r="J77" s="18"/>
      <c r="K77" s="18"/>
      <c r="L77" s="13"/>
      <c r="M77" s="18"/>
      <c r="N77" s="13"/>
      <c r="O77" s="18"/>
      <c r="P77" s="18"/>
      <c r="Q77" s="13"/>
      <c r="R77" s="13"/>
      <c r="S77" s="22"/>
    </row>
    <row r="78" ht="29" customHeight="1" spans="1:19" s="13" customFormat="1" x14ac:dyDescent="0.25">
      <c r="A78" s="25"/>
      <c r="B78" s="48"/>
      <c r="C78" s="48"/>
      <c r="D78" s="48"/>
      <c r="E78" s="16"/>
      <c r="F78" s="13"/>
      <c r="G78" s="20" t="s">
        <v>188</v>
      </c>
      <c r="H78" s="18"/>
      <c r="I78" s="18"/>
      <c r="J78" s="18"/>
      <c r="K78" s="18"/>
      <c r="L78" s="13"/>
      <c r="M78" s="18"/>
      <c r="N78" s="13"/>
      <c r="O78" s="18"/>
      <c r="P78" s="18"/>
      <c r="Q78" s="13"/>
      <c r="R78" s="13"/>
      <c r="S78" s="22"/>
    </row>
    <row r="79" ht="29" customHeight="1" spans="1:19" s="13" customFormat="1" x14ac:dyDescent="0.25">
      <c r="A79" s="25"/>
      <c r="B79" s="16"/>
      <c r="C79" s="16"/>
      <c r="D79" s="16"/>
      <c r="E79" s="16"/>
      <c r="F79" s="13"/>
      <c r="G79" s="20" t="s">
        <v>162</v>
      </c>
      <c r="H79" s="18"/>
      <c r="I79" s="18"/>
      <c r="J79" s="18"/>
      <c r="K79" s="18"/>
      <c r="L79" s="13"/>
      <c r="M79" s="18"/>
      <c r="N79" s="13"/>
      <c r="O79" s="18"/>
      <c r="P79" s="18"/>
      <c r="Q79" s="13"/>
      <c r="R79" s="13"/>
      <c r="S79" s="22"/>
    </row>
    <row r="80" ht="29" customHeight="1" spans="1:19" s="13" customFormat="1" x14ac:dyDescent="0.25">
      <c r="A80" s="25"/>
      <c r="B80" s="16"/>
      <c r="C80" s="16"/>
      <c r="D80" s="16"/>
      <c r="E80" s="16"/>
      <c r="F80" s="13"/>
      <c r="G80" s="20" t="s">
        <v>189</v>
      </c>
      <c r="H80" s="18"/>
      <c r="I80" s="18"/>
      <c r="J80" s="18"/>
      <c r="K80" s="18"/>
      <c r="L80" s="13"/>
      <c r="M80" s="18"/>
      <c r="N80" s="13"/>
      <c r="O80" s="18"/>
      <c r="P80" s="18"/>
      <c r="Q80" s="13"/>
      <c r="R80" s="13"/>
      <c r="S80" s="22"/>
    </row>
    <row r="81" ht="29" customHeight="1" spans="1:19" s="13" customFormat="1" x14ac:dyDescent="0.25">
      <c r="A81" s="25"/>
      <c r="B81" s="16"/>
      <c r="C81" s="16"/>
      <c r="D81" s="16"/>
      <c r="E81" s="16"/>
      <c r="F81" s="13"/>
      <c r="G81" s="20" t="s">
        <v>190</v>
      </c>
      <c r="H81" s="18"/>
      <c r="I81" s="18"/>
      <c r="J81" s="18"/>
      <c r="K81" s="18"/>
      <c r="L81" s="13"/>
      <c r="M81" s="18"/>
      <c r="N81" s="13"/>
      <c r="O81" s="18"/>
      <c r="P81" s="18"/>
      <c r="Q81" s="13"/>
      <c r="R81" s="13"/>
      <c r="S81" s="22"/>
    </row>
    <row r="82" ht="29" customHeight="1" spans="1:19" s="13" customFormat="1" x14ac:dyDescent="0.25">
      <c r="A82" s="25"/>
      <c r="B82" s="16"/>
      <c r="C82" s="16"/>
      <c r="D82" s="16"/>
      <c r="E82" s="16"/>
      <c r="F82" s="13"/>
      <c r="G82" s="41" t="s">
        <v>191</v>
      </c>
      <c r="H82" s="18"/>
      <c r="I82" s="18"/>
      <c r="J82" s="18"/>
      <c r="K82" s="18"/>
      <c r="L82" s="13"/>
      <c r="M82" s="18"/>
      <c r="N82" s="13"/>
      <c r="O82" s="18"/>
      <c r="P82" s="18"/>
      <c r="Q82" s="13"/>
      <c r="R82" s="13"/>
      <c r="S82" s="22"/>
    </row>
    <row r="83" ht="29" customHeight="1" spans="1:19" s="13" customFormat="1" x14ac:dyDescent="0.25">
      <c r="A83" s="14"/>
      <c r="B83" s="15"/>
      <c r="C83" s="15"/>
      <c r="D83" s="15"/>
      <c r="E83" s="16"/>
      <c r="F83" s="13"/>
      <c r="G83" s="41" t="s">
        <v>192</v>
      </c>
      <c r="H83" s="18"/>
      <c r="I83" s="18"/>
      <c r="J83" s="18"/>
      <c r="K83" s="13"/>
      <c r="L83" s="13"/>
      <c r="M83" s="18"/>
      <c r="N83" s="13"/>
      <c r="O83" s="18"/>
      <c r="P83" s="18"/>
      <c r="Q83" s="13"/>
      <c r="R83" s="13"/>
      <c r="S83" s="22"/>
    </row>
    <row r="84" ht="29" customHeight="1" spans="1:19" s="13" customFormat="1" x14ac:dyDescent="0.25">
      <c r="A84" s="25"/>
      <c r="B84" s="16"/>
      <c r="C84" s="16"/>
      <c r="D84" s="16"/>
      <c r="E84" s="16"/>
      <c r="F84" s="13"/>
      <c r="G84" s="41" t="s">
        <v>165</v>
      </c>
      <c r="H84" s="18"/>
      <c r="I84" s="18"/>
      <c r="J84" s="18"/>
      <c r="K84" s="13"/>
      <c r="L84" s="13"/>
      <c r="M84" s="18"/>
      <c r="N84" s="13"/>
      <c r="O84" s="18"/>
      <c r="P84" s="18"/>
      <c r="Q84" s="13"/>
      <c r="R84" s="13"/>
      <c r="S84" s="22"/>
    </row>
    <row r="85" ht="29" customHeight="1" spans="1:19" s="13" customFormat="1" x14ac:dyDescent="0.25">
      <c r="A85" s="25"/>
      <c r="B85" s="16"/>
      <c r="C85" s="16"/>
      <c r="D85" s="16"/>
      <c r="E85" s="16"/>
      <c r="F85" s="13"/>
      <c r="G85" s="20" t="s">
        <v>193</v>
      </c>
      <c r="H85" s="18"/>
      <c r="I85" s="18"/>
      <c r="J85" s="18"/>
      <c r="K85" s="13"/>
      <c r="L85" s="13"/>
      <c r="M85" s="18"/>
      <c r="N85" s="13"/>
      <c r="O85" s="18"/>
      <c r="P85" s="18"/>
      <c r="Q85" s="13"/>
      <c r="R85" s="13"/>
      <c r="S85" s="22"/>
    </row>
    <row r="86" ht="29" customHeight="1" spans="1:19" s="13" customFormat="1" x14ac:dyDescent="0.25">
      <c r="A86" s="25"/>
      <c r="B86" s="16"/>
      <c r="C86" s="16"/>
      <c r="D86" s="16"/>
      <c r="E86" s="16"/>
      <c r="F86" s="13"/>
      <c r="G86" s="20" t="s">
        <v>167</v>
      </c>
      <c r="H86" s="18"/>
      <c r="I86" s="18"/>
      <c r="J86" s="18"/>
      <c r="K86" s="13"/>
      <c r="L86" s="13"/>
      <c r="M86" s="18"/>
      <c r="N86" s="13"/>
      <c r="O86" s="18"/>
      <c r="P86" s="18"/>
      <c r="Q86" s="13"/>
      <c r="R86" s="13"/>
      <c r="S86" s="22"/>
    </row>
    <row r="87" ht="29" customHeight="1" spans="1:19" s="13" customFormat="1" x14ac:dyDescent="0.25">
      <c r="A87" s="25"/>
      <c r="B87" s="16"/>
      <c r="C87" s="16"/>
      <c r="D87" s="16"/>
      <c r="E87" s="16"/>
      <c r="F87" s="13"/>
      <c r="G87" s="20" t="s">
        <v>194</v>
      </c>
      <c r="H87" s="13"/>
      <c r="I87" s="18"/>
      <c r="J87" s="13"/>
      <c r="K87" s="13"/>
      <c r="L87" s="13"/>
      <c r="M87" s="18"/>
      <c r="N87" s="13"/>
      <c r="O87" s="18"/>
      <c r="P87" s="18"/>
      <c r="Q87" s="13"/>
      <c r="R87" s="13"/>
      <c r="S87" s="22"/>
    </row>
    <row r="88" ht="29" customHeight="1" spans="1:19" s="13" customFormat="1" x14ac:dyDescent="0.25">
      <c r="A88" s="25"/>
      <c r="B88" s="16"/>
      <c r="C88" s="16"/>
      <c r="D88" s="16"/>
      <c r="E88" s="16"/>
      <c r="F88" s="13"/>
      <c r="G88" s="20" t="s">
        <v>195</v>
      </c>
      <c r="H88" s="13"/>
      <c r="I88" s="18"/>
      <c r="J88" s="13"/>
      <c r="K88" s="13"/>
      <c r="L88" s="13"/>
      <c r="M88" s="18"/>
      <c r="N88" s="13"/>
      <c r="O88" s="18"/>
      <c r="P88" s="18"/>
      <c r="Q88" s="13"/>
      <c r="R88" s="13"/>
      <c r="S88" s="22"/>
    </row>
    <row r="89" ht="29" customHeight="1" spans="1:19" s="13" customFormat="1" x14ac:dyDescent="0.25">
      <c r="A89" s="25"/>
      <c r="B89" s="16"/>
      <c r="C89" s="16"/>
      <c r="D89" s="16"/>
      <c r="E89" s="16"/>
      <c r="F89" s="13"/>
      <c r="G89" s="20"/>
      <c r="H89" s="13"/>
      <c r="I89" s="18"/>
      <c r="J89" s="13"/>
      <c r="K89" s="13"/>
      <c r="L89" s="13"/>
      <c r="M89" s="13"/>
      <c r="N89" s="13"/>
      <c r="O89" s="18"/>
      <c r="P89" s="13"/>
      <c r="Q89" s="13"/>
      <c r="R89" s="13"/>
      <c r="S89" s="22"/>
    </row>
    <row r="90" ht="29" customHeight="1" spans="1:19" x14ac:dyDescent="0.25">
      <c r="A90" s="14"/>
      <c r="B90" s="15"/>
      <c r="C90" s="15"/>
      <c r="D90" s="15"/>
      <c r="E90" s="16"/>
      <c r="G90" s="20"/>
      <c r="I90" s="18"/>
      <c r="O90" s="18"/>
      <c r="Q90" s="13"/>
      <c r="R90" s="13"/>
      <c r="S90" s="22"/>
    </row>
    <row r="91" ht="29" customHeight="1" spans="1:19" x14ac:dyDescent="0.25">
      <c r="A91" s="14"/>
      <c r="B91" s="15"/>
      <c r="C91" s="15"/>
      <c r="D91" s="15"/>
      <c r="E91" s="16"/>
      <c r="G91" s="20"/>
      <c r="I91" s="18"/>
      <c r="O91" s="18"/>
      <c r="Q91" s="13"/>
      <c r="R91" s="13"/>
      <c r="S91" s="22"/>
    </row>
    <row r="92" ht="29" customHeight="1" spans="1:19" x14ac:dyDescent="0.25">
      <c r="A92" s="14"/>
      <c r="B92" s="15"/>
      <c r="C92" s="15"/>
      <c r="D92" s="15"/>
      <c r="E92" s="16"/>
      <c r="G92" s="1"/>
      <c r="I92" s="18"/>
      <c r="O92" s="18"/>
      <c r="Q92" s="13"/>
      <c r="R92" s="13"/>
      <c r="S92" s="22"/>
    </row>
    <row r="93" ht="29" customHeight="1" spans="1:19" x14ac:dyDescent="0.25">
      <c r="A93" s="14"/>
      <c r="B93" s="15"/>
      <c r="C93" s="15"/>
      <c r="D93" s="15"/>
      <c r="E93" s="16"/>
      <c r="G93" s="1"/>
      <c r="I93" s="18"/>
      <c r="O93" s="18"/>
      <c r="Q93" s="13"/>
      <c r="R93" s="13"/>
      <c r="S93" s="22"/>
    </row>
    <row r="94" ht="29" customHeight="1" spans="1:19" x14ac:dyDescent="0.25">
      <c r="A94" s="14"/>
      <c r="B94" s="15"/>
      <c r="C94" s="15"/>
      <c r="D94" s="15"/>
      <c r="E94" s="16"/>
      <c r="G94" s="1"/>
      <c r="I94" s="18"/>
      <c r="O94" s="13"/>
      <c r="Q94" s="13"/>
      <c r="R94" s="13"/>
      <c r="S94" s="22"/>
    </row>
    <row r="95" ht="29" customHeight="1" spans="1:19" x14ac:dyDescent="0.25">
      <c r="A95" s="25"/>
      <c r="B95" s="16"/>
      <c r="C95" s="16"/>
      <c r="D95" s="16"/>
      <c r="E95" s="16"/>
      <c r="G95" s="1"/>
      <c r="S95" s="22"/>
    </row>
    <row r="96" ht="29" customHeight="1" spans="1:19" x14ac:dyDescent="0.25">
      <c r="A96" s="25"/>
      <c r="B96" s="16"/>
      <c r="C96" s="16"/>
      <c r="D96" s="16"/>
      <c r="E96" s="16"/>
      <c r="G96" s="1"/>
      <c r="S96" s="22"/>
    </row>
    <row r="97" ht="29" customHeight="1" spans="1:19" x14ac:dyDescent="0.25">
      <c r="A97" s="14"/>
      <c r="B97" s="15"/>
      <c r="C97" s="15"/>
      <c r="D97" s="15"/>
      <c r="E97" s="16"/>
      <c r="G97" s="1"/>
      <c r="S97" s="22"/>
    </row>
    <row r="98" ht="29" customHeight="1" spans="1:5" x14ac:dyDescent="0.25">
      <c r="A98" s="14"/>
      <c r="B98" s="15"/>
      <c r="C98" s="15"/>
      <c r="D98" s="15"/>
      <c r="E98" s="16"/>
    </row>
    <row r="99" ht="29" customHeight="1" spans="1:5" x14ac:dyDescent="0.25">
      <c r="A99" s="14"/>
      <c r="B99" s="15"/>
      <c r="C99" s="15"/>
      <c r="D99" s="15"/>
      <c r="E99" s="16"/>
    </row>
    <row r="100" ht="29" customHeight="1" spans="1:5" x14ac:dyDescent="0.25">
      <c r="A100" s="14"/>
      <c r="B100" s="15"/>
      <c r="C100" s="15"/>
      <c r="D100" s="15"/>
      <c r="E100" s="16"/>
    </row>
    <row r="101" ht="29" customHeight="1" spans="1:5" x14ac:dyDescent="0.25">
      <c r="A101" s="25"/>
      <c r="B101" s="16"/>
      <c r="C101" s="16"/>
      <c r="D101" s="16"/>
      <c r="E101" s="16"/>
    </row>
    <row r="102" ht="30" customHeight="1" spans="1:5" x14ac:dyDescent="0.25">
      <c r="A102" s="25"/>
      <c r="B102" s="16"/>
      <c r="C102" s="16"/>
      <c r="D102" s="16"/>
      <c r="E102" s="16"/>
    </row>
    <row r="103" ht="29" customHeight="1" spans="1:5" x14ac:dyDescent="0.25">
      <c r="A103" s="25"/>
      <c r="B103" s="16"/>
      <c r="C103" s="16"/>
      <c r="D103" s="16"/>
      <c r="E103" s="16"/>
    </row>
    <row r="104" ht="29" customHeight="1" spans="1:5" x14ac:dyDescent="0.25">
      <c r="A104" s="25"/>
      <c r="B104" s="16"/>
      <c r="C104" s="16"/>
      <c r="D104" s="16"/>
      <c r="E104" s="16"/>
    </row>
    <row r="105" ht="29" customHeight="1" spans="1:5" x14ac:dyDescent="0.25">
      <c r="A105" s="25"/>
      <c r="B105" s="16"/>
      <c r="C105" s="16"/>
      <c r="D105" s="16"/>
      <c r="E105" s="16"/>
    </row>
    <row r="106" ht="29" customHeight="1" spans="1:5" x14ac:dyDescent="0.25">
      <c r="A106" s="25"/>
      <c r="B106" s="16"/>
      <c r="C106" s="16"/>
      <c r="D106" s="16"/>
      <c r="E106" s="16"/>
    </row>
    <row r="107" ht="29" customHeight="1" spans="1:5" x14ac:dyDescent="0.25">
      <c r="A107" s="14"/>
      <c r="B107" s="15"/>
      <c r="C107" s="15"/>
      <c r="D107" s="15"/>
      <c r="E107" s="16"/>
    </row>
    <row r="108" ht="29" customHeight="1" spans="1:5" x14ac:dyDescent="0.25">
      <c r="A108" s="25"/>
      <c r="B108" s="16"/>
      <c r="C108" s="16"/>
      <c r="D108" s="16"/>
      <c r="E108" s="16"/>
    </row>
    <row r="109" ht="29" customHeight="1" spans="1:6" x14ac:dyDescent="0.25">
      <c r="A109" s="25"/>
      <c r="B109" s="16"/>
      <c r="C109" s="16"/>
      <c r="D109" s="16"/>
      <c r="E109" s="16"/>
      <c r="F109" s="49"/>
    </row>
    <row r="110" ht="29" customHeight="1" spans="1:5" x14ac:dyDescent="0.25">
      <c r="A110" s="25"/>
      <c r="B110" s="16"/>
      <c r="C110" s="16"/>
      <c r="D110" s="16"/>
      <c r="E110" s="16"/>
    </row>
    <row r="111" ht="29" customHeight="1" spans="1:5" x14ac:dyDescent="0.25">
      <c r="A111" s="14"/>
      <c r="B111" s="15"/>
      <c r="C111" s="15"/>
      <c r="D111" s="15"/>
      <c r="E111" s="16"/>
    </row>
    <row r="112" ht="29" customHeight="1" spans="1:5" x14ac:dyDescent="0.25">
      <c r="A112" s="25"/>
      <c r="B112" s="16"/>
      <c r="C112" s="16"/>
      <c r="D112" s="16"/>
      <c r="E112" s="16"/>
    </row>
    <row r="113" ht="29" customHeight="1" spans="1:5" x14ac:dyDescent="0.25">
      <c r="A113" s="25"/>
      <c r="B113" s="16"/>
      <c r="C113" s="16"/>
      <c r="D113" s="16"/>
      <c r="E113" s="16"/>
    </row>
    <row r="114" ht="29" customHeight="1" spans="1:7" x14ac:dyDescent="0.25">
      <c r="A114" s="25"/>
      <c r="B114" s="16"/>
      <c r="C114" s="16"/>
      <c r="D114" s="16"/>
      <c r="E114" s="16"/>
      <c r="G114" s="4"/>
    </row>
    <row r="115" ht="29" customHeight="1" spans="1:5" x14ac:dyDescent="0.25">
      <c r="A115" s="25"/>
      <c r="B115" s="16"/>
      <c r="C115" s="16"/>
      <c r="D115" s="16"/>
      <c r="E115" s="16"/>
    </row>
    <row r="116" ht="29" customHeight="1" spans="1:5" x14ac:dyDescent="0.25">
      <c r="A116" s="25"/>
      <c r="B116" s="16"/>
      <c r="C116" s="16"/>
      <c r="D116" s="16"/>
      <c r="E116" s="16"/>
    </row>
    <row r="117" ht="29" customHeight="1" spans="1:5" x14ac:dyDescent="0.25">
      <c r="A117" s="25"/>
      <c r="B117" s="16"/>
      <c r="C117" s="16"/>
      <c r="D117" s="16"/>
      <c r="E117" s="16"/>
    </row>
    <row r="118" ht="29" customHeight="1" spans="1:5" x14ac:dyDescent="0.25">
      <c r="A118" s="25"/>
      <c r="B118" s="16"/>
      <c r="C118" s="16"/>
      <c r="D118" s="16"/>
      <c r="E118" s="16"/>
    </row>
    <row r="119" ht="29" customHeight="1" spans="1:5" x14ac:dyDescent="0.25">
      <c r="A119" s="25"/>
      <c r="B119" s="16"/>
      <c r="C119" s="16"/>
      <c r="D119" s="16"/>
      <c r="E119" s="16"/>
    </row>
    <row r="120" ht="29" customHeight="1" spans="1:5" x14ac:dyDescent="0.25">
      <c r="A120" s="25"/>
      <c r="B120" s="16"/>
      <c r="C120" s="16"/>
      <c r="D120" s="16"/>
      <c r="E120" s="16"/>
    </row>
    <row r="121" ht="29" customHeight="1" spans="1:5" x14ac:dyDescent="0.25">
      <c r="A121" s="25"/>
      <c r="B121" s="16"/>
      <c r="C121" s="16"/>
      <c r="D121" s="16"/>
      <c r="E121" s="16"/>
    </row>
    <row r="122" ht="29" customHeight="1" spans="1:5" x14ac:dyDescent="0.25">
      <c r="A122" s="25"/>
      <c r="B122" s="16"/>
      <c r="C122" s="16"/>
      <c r="D122" s="16"/>
      <c r="E122" s="16"/>
    </row>
    <row r="123" ht="29" customHeight="1" spans="1:5" x14ac:dyDescent="0.25">
      <c r="A123" s="25"/>
      <c r="B123" s="16"/>
      <c r="C123" s="16"/>
      <c r="D123" s="16"/>
      <c r="E123" s="16"/>
    </row>
    <row r="124" ht="29" customHeight="1" spans="1:5" x14ac:dyDescent="0.25">
      <c r="A124" s="14"/>
      <c r="B124" s="15"/>
      <c r="C124" s="15"/>
      <c r="D124" s="15"/>
      <c r="E124" s="16"/>
    </row>
    <row r="125" ht="29" customHeight="1" spans="1:5" x14ac:dyDescent="0.25">
      <c r="A125" s="25"/>
      <c r="B125" s="16"/>
      <c r="C125" s="16"/>
      <c r="D125" s="16"/>
      <c r="E125" s="16"/>
    </row>
    <row r="126" ht="21" customHeight="1" spans="1:5" x14ac:dyDescent="0.25">
      <c r="A126" s="25"/>
      <c r="B126" s="16"/>
      <c r="C126" s="16"/>
      <c r="D126" s="16"/>
      <c r="E126" s="16"/>
    </row>
    <row r="127" ht="21" customHeight="1" spans="1:5" x14ac:dyDescent="0.25">
      <c r="A127" s="25"/>
      <c r="B127" s="16"/>
      <c r="C127" s="16"/>
      <c r="D127" s="16"/>
      <c r="E127" s="16"/>
    </row>
    <row r="128" ht="29" customHeight="1" spans="1:5" x14ac:dyDescent="0.25">
      <c r="A128" s="25"/>
      <c r="B128" s="16"/>
      <c r="C128" s="16"/>
      <c r="D128" s="16"/>
      <c r="E128" s="16"/>
    </row>
    <row r="129" ht="29" customHeight="1" spans="1:5" x14ac:dyDescent="0.25">
      <c r="A129" s="25"/>
      <c r="B129" s="16"/>
      <c r="C129" s="16"/>
      <c r="D129" s="16"/>
      <c r="E129" s="16"/>
    </row>
    <row r="130" ht="29" customHeight="1" spans="1:5" x14ac:dyDescent="0.25">
      <c r="A130" s="25"/>
      <c r="B130" s="16"/>
      <c r="C130" s="16"/>
      <c r="D130" s="16"/>
      <c r="E130" s="16"/>
    </row>
    <row r="131" ht="21" customHeight="1" spans="1:5" x14ac:dyDescent="0.25">
      <c r="A131" s="50"/>
      <c r="B131" s="50"/>
      <c r="C131" s="50"/>
      <c r="D131" s="50"/>
      <c r="E131" s="50"/>
    </row>
    <row r="132" spans="1:5" x14ac:dyDescent="0.25">
      <c r="A132" s="1"/>
      <c r="B132" s="1"/>
      <c r="C132" s="1"/>
      <c r="D132" s="1"/>
      <c r="E132" s="1"/>
    </row>
    <row r="133" spans="1:5" x14ac:dyDescent="0.25">
      <c r="A133" s="1"/>
      <c r="B133" s="1"/>
      <c r="C133" s="1"/>
      <c r="D133" s="1"/>
      <c r="E133" s="1"/>
    </row>
    <row r="134" spans="1:5" x14ac:dyDescent="0.25">
      <c r="A134" s="51"/>
      <c r="B134" s="1"/>
      <c r="C134" s="1"/>
      <c r="D134" s="1"/>
      <c r="E134" s="1"/>
    </row>
    <row r="135" ht="21" customHeight="1" spans="1:5" x14ac:dyDescent="0.25">
      <c r="A135" s="52"/>
      <c r="B135" s="52"/>
      <c r="C135" s="52"/>
      <c r="D135" s="52"/>
      <c r="E135" s="52"/>
    </row>
    <row r="136" ht="21" customHeight="1" spans="1:5" x14ac:dyDescent="0.25">
      <c r="A136" s="25"/>
      <c r="B136" s="53"/>
      <c r="C136" s="53"/>
      <c r="D136" s="53"/>
      <c r="E136" s="53"/>
    </row>
    <row r="137" ht="21" customHeight="1" spans="1:5" x14ac:dyDescent="0.25">
      <c r="A137" s="25"/>
      <c r="B137" s="1"/>
      <c r="C137" s="1"/>
      <c r="D137" s="1"/>
      <c r="E137" s="1"/>
    </row>
    <row r="138" ht="21" customHeight="1" spans="1:5" x14ac:dyDescent="0.25">
      <c r="A138" s="25"/>
      <c r="B138" s="1"/>
      <c r="C138" s="1"/>
      <c r="D138" s="1"/>
      <c r="E138" s="1"/>
    </row>
    <row r="139" ht="20" customHeight="1" spans="1:5" x14ac:dyDescent="0.25">
      <c r="A139" s="14"/>
      <c r="B139" s="1"/>
      <c r="C139" s="1"/>
      <c r="D139" s="1"/>
      <c r="E139" s="1"/>
    </row>
    <row r="140" ht="21" customHeight="1" spans="1:5" x14ac:dyDescent="0.25">
      <c r="A140" s="25"/>
      <c r="B140" s="53"/>
      <c r="C140" s="53"/>
      <c r="D140" s="53"/>
      <c r="E140" s="53"/>
    </row>
  </sheetData>
  <autoFilter ref="B16:D130"/>
  <printOptions horizontalCentered="1"/>
  <pageMargins left="0" right="0" top="0.5" bottom="0.25" header="0.3" footer="0.3"/>
  <pageSetup paperSize="8" orientation="portrait" horizontalDpi="0" verticalDpi="0" scale="100"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D70"/>
  <sheetViews>
    <sheetView workbookViewId="0" zoomScale="70" zoomScaleNormal="70">
      <selection activeCell="C7" sqref="C7"/>
    </sheetView>
  </sheetViews>
  <sheetFormatPr defaultRowHeight="16" outlineLevelRow="0" outlineLevelCol="0" x14ac:dyDescent="0" defaultColWidth="11" customHeight="1"/>
  <cols>
    <col min="2" max="2" width="57.6640625" customWidth="1"/>
    <col min="3" max="3" width="62.33203125" customWidth="1"/>
    <col min="4" max="4" width="43" customWidth="1"/>
  </cols>
  <sheetData>
    <row r="5" ht="42" customHeight="1" spans="1:4" s="67" customFormat="1" x14ac:dyDescent="0.25">
      <c r="A5" s="67"/>
      <c r="B5" s="245" t="s">
        <v>455</v>
      </c>
      <c r="C5" s="246" t="s">
        <v>456</v>
      </c>
      <c r="D5" s="67" t="s">
        <v>208</v>
      </c>
    </row>
    <row r="6" ht="29" customHeight="1" spans="1:4" x14ac:dyDescent="0.25">
      <c r="B6" s="247">
        <f>COUNTA(B7:B69)</f>
        <v>51</v>
      </c>
      <c r="C6" s="247">
        <f>COUNTA(C7:C69)</f>
        <v>60</v>
      </c>
      <c r="D6" s="248">
        <f>C6-B6</f>
        <v>9</v>
      </c>
    </row>
    <row r="7" ht="23" customHeight="1" spans="1:3" x14ac:dyDescent="0.25">
      <c r="B7" s="249" t="s">
        <v>457</v>
      </c>
      <c r="C7" s="20"/>
    </row>
    <row r="8" ht="23" customHeight="1" spans="1:3" x14ac:dyDescent="0.25">
      <c r="B8" s="249" t="s">
        <v>237</v>
      </c>
      <c r="C8" s="20" t="s">
        <v>13</v>
      </c>
    </row>
    <row r="9" ht="23" customHeight="1" spans="1:3" x14ac:dyDescent="0.25">
      <c r="B9" s="249" t="s">
        <v>21</v>
      </c>
      <c r="C9" s="20" t="s">
        <v>21</v>
      </c>
    </row>
    <row r="10" ht="23" customHeight="1" spans="1:3" x14ac:dyDescent="0.25">
      <c r="B10" s="249" t="s">
        <v>30</v>
      </c>
      <c r="C10" s="20" t="s">
        <v>30</v>
      </c>
    </row>
    <row r="11" ht="23" customHeight="1" spans="1:3" x14ac:dyDescent="0.25">
      <c r="B11" s="249" t="s">
        <v>35</v>
      </c>
      <c r="C11" s="20" t="s">
        <v>35</v>
      </c>
    </row>
    <row r="12" ht="23" customHeight="1" spans="1:3" x14ac:dyDescent="0.25">
      <c r="B12" s="249" t="s">
        <v>45</v>
      </c>
      <c r="C12" s="20" t="s">
        <v>45</v>
      </c>
    </row>
    <row r="13" ht="23" customHeight="1" spans="1:3" x14ac:dyDescent="0.25">
      <c r="B13" s="249" t="s">
        <v>52</v>
      </c>
      <c r="C13" s="20" t="s">
        <v>52</v>
      </c>
    </row>
    <row r="14" ht="23" customHeight="1" spans="1:3" x14ac:dyDescent="0.25">
      <c r="B14" s="249" t="s">
        <v>42</v>
      </c>
      <c r="C14" s="20" t="s">
        <v>42</v>
      </c>
    </row>
    <row r="15" ht="23" customHeight="1" spans="1:3" x14ac:dyDescent="0.25">
      <c r="B15" s="249" t="s">
        <v>458</v>
      </c>
      <c r="C15" s="20" t="s">
        <v>63</v>
      </c>
    </row>
    <row r="16" ht="23" customHeight="1" spans="1:3" x14ac:dyDescent="0.25">
      <c r="B16" s="249" t="s">
        <v>68</v>
      </c>
      <c r="C16" s="20" t="s">
        <v>68</v>
      </c>
    </row>
    <row r="17" ht="23" customHeight="1" spans="1:3" x14ac:dyDescent="0.25">
      <c r="B17" s="249" t="s">
        <v>61</v>
      </c>
      <c r="C17" s="20" t="s">
        <v>61</v>
      </c>
    </row>
    <row r="18" ht="23" customHeight="1" spans="1:3" x14ac:dyDescent="0.25">
      <c r="B18" s="249" t="s">
        <v>459</v>
      </c>
      <c r="C18" s="20" t="s">
        <v>78</v>
      </c>
    </row>
    <row r="19" ht="23" customHeight="1" spans="1:4" x14ac:dyDescent="0.25">
      <c r="B19" s="249" t="s">
        <v>84</v>
      </c>
      <c r="C19" s="249" t="s">
        <v>84</v>
      </c>
      <c r="D19" s="250" t="s">
        <v>460</v>
      </c>
    </row>
    <row r="20" ht="23" customHeight="1" spans="1:3" x14ac:dyDescent="0.25">
      <c r="B20" s="249" t="s">
        <v>71</v>
      </c>
      <c r="C20" s="20" t="s">
        <v>71</v>
      </c>
    </row>
    <row r="21" ht="23" customHeight="1" spans="1:3" x14ac:dyDescent="0.25">
      <c r="B21" s="249" t="s">
        <v>95</v>
      </c>
      <c r="C21" s="20" t="s">
        <v>95</v>
      </c>
    </row>
    <row r="22" ht="23" customHeight="1" spans="1:3" x14ac:dyDescent="0.25">
      <c r="B22" s="251" t="s">
        <v>461</v>
      </c>
      <c r="C22" s="20"/>
    </row>
    <row r="23" ht="23" customHeight="1" spans="1:4" x14ac:dyDescent="0.25">
      <c r="B23" s="249"/>
      <c r="C23" s="252" t="s">
        <v>268</v>
      </c>
      <c r="D23" t="s">
        <v>462</v>
      </c>
    </row>
    <row r="24" ht="23" customHeight="1" spans="1:4" x14ac:dyDescent="0.25">
      <c r="B24" s="249"/>
      <c r="C24" s="252" t="s">
        <v>99</v>
      </c>
      <c r="D24" t="s">
        <v>462</v>
      </c>
    </row>
    <row r="25" ht="23" customHeight="1" spans="1:3" x14ac:dyDescent="0.25">
      <c r="B25" s="249" t="s">
        <v>463</v>
      </c>
      <c r="C25" s="20" t="s">
        <v>105</v>
      </c>
    </row>
    <row r="26" ht="23" customHeight="1" spans="1:3" x14ac:dyDescent="0.25">
      <c r="B26" s="249" t="s">
        <v>110</v>
      </c>
      <c r="C26" s="20" t="s">
        <v>110</v>
      </c>
    </row>
    <row r="27" ht="23" customHeight="1" spans="1:3" x14ac:dyDescent="0.25">
      <c r="B27" s="249" t="s">
        <v>276</v>
      </c>
      <c r="C27" s="20" t="s">
        <v>115</v>
      </c>
    </row>
    <row r="28" ht="23" customHeight="1" spans="1:3" x14ac:dyDescent="0.25">
      <c r="B28" s="249" t="s">
        <v>93</v>
      </c>
      <c r="C28" s="20" t="s">
        <v>93</v>
      </c>
    </row>
    <row r="29" ht="23" customHeight="1" spans="1:3" x14ac:dyDescent="0.25">
      <c r="B29" s="249" t="s">
        <v>108</v>
      </c>
      <c r="C29" s="20" t="s">
        <v>108</v>
      </c>
    </row>
    <row r="30" ht="23" customHeight="1" spans="1:3" x14ac:dyDescent="0.25">
      <c r="B30" s="249" t="s">
        <v>137</v>
      </c>
      <c r="C30" s="20" t="s">
        <v>137</v>
      </c>
    </row>
    <row r="31" ht="23" customHeight="1" spans="1:3" x14ac:dyDescent="0.25">
      <c r="B31" s="249" t="s">
        <v>464</v>
      </c>
      <c r="C31" s="20" t="s">
        <v>143</v>
      </c>
    </row>
    <row r="32" ht="23" customHeight="1" spans="1:3" x14ac:dyDescent="0.25">
      <c r="B32" s="249" t="s">
        <v>150</v>
      </c>
      <c r="C32" s="20" t="s">
        <v>150</v>
      </c>
    </row>
    <row r="33" ht="23" customHeight="1" spans="1:3" x14ac:dyDescent="0.25">
      <c r="B33" s="249" t="s">
        <v>153</v>
      </c>
      <c r="C33" s="20" t="s">
        <v>153</v>
      </c>
    </row>
    <row r="34" ht="23" customHeight="1" spans="1:4" x14ac:dyDescent="0.25">
      <c r="B34" s="249"/>
      <c r="C34" s="252" t="s">
        <v>304</v>
      </c>
      <c r="D34" t="s">
        <v>462</v>
      </c>
    </row>
    <row r="35" ht="23" customHeight="1" spans="1:3" x14ac:dyDescent="0.25">
      <c r="B35" s="249" t="s">
        <v>129</v>
      </c>
      <c r="C35" s="20" t="s">
        <v>129</v>
      </c>
    </row>
    <row r="36" ht="23" customHeight="1" spans="1:4" x14ac:dyDescent="0.25">
      <c r="B36" s="249"/>
      <c r="C36" s="253" t="s">
        <v>465</v>
      </c>
      <c r="D36" t="s">
        <v>466</v>
      </c>
    </row>
    <row r="37" ht="23" customHeight="1" spans="1:3" x14ac:dyDescent="0.25">
      <c r="B37" s="249" t="s">
        <v>159</v>
      </c>
      <c r="C37" s="41" t="s">
        <v>159</v>
      </c>
    </row>
    <row r="38" ht="23" customHeight="1" spans="1:3" x14ac:dyDescent="0.25">
      <c r="B38" s="249" t="s">
        <v>161</v>
      </c>
      <c r="C38" s="41" t="s">
        <v>161</v>
      </c>
    </row>
    <row r="39" ht="23" customHeight="1" spans="1:3" x14ac:dyDescent="0.25">
      <c r="B39" s="249" t="s">
        <v>163</v>
      </c>
      <c r="C39" s="41" t="s">
        <v>163</v>
      </c>
    </row>
    <row r="40" ht="23" customHeight="1" spans="1:3" x14ac:dyDescent="0.25">
      <c r="B40" s="249"/>
      <c r="C40" s="20" t="s">
        <v>467</v>
      </c>
    </row>
    <row r="41" ht="23" customHeight="1" spans="1:3" x14ac:dyDescent="0.25">
      <c r="B41" s="249"/>
      <c r="C41" s="20" t="s">
        <v>317</v>
      </c>
    </row>
    <row r="42" ht="23" customHeight="1" spans="1:3" x14ac:dyDescent="0.25">
      <c r="B42" s="249" t="s">
        <v>141</v>
      </c>
      <c r="C42" s="41" t="s">
        <v>141</v>
      </c>
    </row>
    <row r="43" ht="23" customHeight="1" spans="1:3" x14ac:dyDescent="0.25">
      <c r="B43" s="249" t="s">
        <v>144</v>
      </c>
      <c r="C43" s="41" t="s">
        <v>144</v>
      </c>
    </row>
    <row r="44" ht="23" customHeight="1" spans="1:3" x14ac:dyDescent="0.25">
      <c r="B44" s="249" t="s">
        <v>169</v>
      </c>
      <c r="C44" s="41" t="s">
        <v>169</v>
      </c>
    </row>
    <row r="45" ht="23" customHeight="1" spans="1:3" x14ac:dyDescent="0.25">
      <c r="B45" s="249" t="s">
        <v>170</v>
      </c>
      <c r="C45" s="41" t="s">
        <v>170</v>
      </c>
    </row>
    <row r="46" ht="23" customHeight="1" spans="1:3" x14ac:dyDescent="0.25">
      <c r="B46" s="249" t="s">
        <v>148</v>
      </c>
      <c r="C46" s="41" t="s">
        <v>148</v>
      </c>
    </row>
    <row r="47" ht="23" customHeight="1" spans="1:3" x14ac:dyDescent="0.25">
      <c r="B47" s="249" t="s">
        <v>151</v>
      </c>
      <c r="C47" s="41" t="s">
        <v>151</v>
      </c>
    </row>
    <row r="48" ht="23" customHeight="1" spans="1:3" x14ac:dyDescent="0.25">
      <c r="B48" s="249"/>
      <c r="C48" s="253" t="s">
        <v>172</v>
      </c>
    </row>
    <row r="49" ht="23" customHeight="1" spans="1:4" x14ac:dyDescent="0.25">
      <c r="B49" s="249"/>
      <c r="C49" s="253" t="s">
        <v>174</v>
      </c>
      <c r="D49" t="s">
        <v>462</v>
      </c>
    </row>
    <row r="50" ht="23" customHeight="1" spans="1:3" x14ac:dyDescent="0.25">
      <c r="B50" s="249" t="s">
        <v>468</v>
      </c>
      <c r="C50" s="41" t="s">
        <v>175</v>
      </c>
    </row>
    <row r="51" ht="23" customHeight="1" spans="1:4" x14ac:dyDescent="0.25">
      <c r="B51" s="249"/>
      <c r="C51" s="253" t="s">
        <v>176</v>
      </c>
      <c r="D51" t="s">
        <v>469</v>
      </c>
    </row>
    <row r="52" ht="23" customHeight="1" spans="1:3" x14ac:dyDescent="0.25">
      <c r="B52" s="249" t="s">
        <v>470</v>
      </c>
      <c r="C52" s="41" t="s">
        <v>178</v>
      </c>
    </row>
    <row r="53" ht="23" customHeight="1" spans="1:3" x14ac:dyDescent="0.25">
      <c r="B53" s="249" t="s">
        <v>180</v>
      </c>
      <c r="C53" s="41" t="s">
        <v>180</v>
      </c>
    </row>
    <row r="54" ht="23" customHeight="1" spans="1:4" x14ac:dyDescent="0.25">
      <c r="B54" s="249"/>
      <c r="C54" s="252" t="s">
        <v>181</v>
      </c>
      <c r="D54" t="s">
        <v>462</v>
      </c>
    </row>
    <row r="55" ht="23" customHeight="1" spans="1:3" x14ac:dyDescent="0.25">
      <c r="B55" s="249" t="s">
        <v>156</v>
      </c>
      <c r="C55" s="20" t="s">
        <v>156</v>
      </c>
    </row>
    <row r="56" ht="23" customHeight="1" spans="1:3" x14ac:dyDescent="0.25">
      <c r="B56" s="249" t="s">
        <v>471</v>
      </c>
      <c r="C56" s="20" t="s">
        <v>182</v>
      </c>
    </row>
    <row r="57" ht="23" customHeight="1" spans="1:3" x14ac:dyDescent="0.25">
      <c r="B57" s="249" t="s">
        <v>183</v>
      </c>
      <c r="C57" s="20" t="s">
        <v>183</v>
      </c>
    </row>
    <row r="58" ht="23" customHeight="1" spans="1:4" x14ac:dyDescent="0.25">
      <c r="B58" s="249"/>
      <c r="C58" s="252" t="s">
        <v>472</v>
      </c>
      <c r="D58" t="s">
        <v>466</v>
      </c>
    </row>
    <row r="59" ht="23" customHeight="1" spans="1:3" x14ac:dyDescent="0.25">
      <c r="B59" s="249" t="s">
        <v>185</v>
      </c>
      <c r="C59" s="20" t="s">
        <v>185</v>
      </c>
    </row>
    <row r="60" ht="23" customHeight="1" spans="1:3" x14ac:dyDescent="0.25">
      <c r="B60" s="249" t="s">
        <v>186</v>
      </c>
      <c r="C60" s="20" t="s">
        <v>186</v>
      </c>
    </row>
    <row r="61" ht="23" customHeight="1" spans="1:3" x14ac:dyDescent="0.25">
      <c r="B61" s="249" t="s">
        <v>473</v>
      </c>
      <c r="C61" s="20"/>
    </row>
    <row r="62" ht="23" customHeight="1" spans="1:3" x14ac:dyDescent="0.25">
      <c r="B62" s="249" t="s">
        <v>188</v>
      </c>
      <c r="C62" s="20" t="s">
        <v>188</v>
      </c>
    </row>
    <row r="63" ht="23" customHeight="1" spans="1:3" x14ac:dyDescent="0.25">
      <c r="B63" s="249" t="s">
        <v>162</v>
      </c>
      <c r="C63" s="20" t="s">
        <v>162</v>
      </c>
    </row>
    <row r="64" ht="23" customHeight="1" spans="1:3" x14ac:dyDescent="0.25">
      <c r="B64" s="249" t="s">
        <v>189</v>
      </c>
      <c r="C64" s="20" t="s">
        <v>189</v>
      </c>
    </row>
    <row r="65" ht="23" customHeight="1" spans="1:3" x14ac:dyDescent="0.25">
      <c r="B65" s="249" t="s">
        <v>190</v>
      </c>
      <c r="C65" s="20" t="s">
        <v>190</v>
      </c>
    </row>
    <row r="66" ht="23" customHeight="1" spans="1:4" x14ac:dyDescent="0.25">
      <c r="B66" s="249"/>
      <c r="C66" s="253" t="s">
        <v>191</v>
      </c>
      <c r="D66" t="s">
        <v>462</v>
      </c>
    </row>
    <row r="67" ht="23" customHeight="1" spans="1:4" x14ac:dyDescent="0.25">
      <c r="B67" s="249" t="s">
        <v>474</v>
      </c>
      <c r="C67" s="249" t="s">
        <v>474</v>
      </c>
      <c r="D67" s="250" t="s">
        <v>460</v>
      </c>
    </row>
    <row r="68" ht="23" customHeight="1" spans="1:3" x14ac:dyDescent="0.25">
      <c r="B68" s="249" t="s">
        <v>193</v>
      </c>
      <c r="C68" s="20" t="s">
        <v>193</v>
      </c>
    </row>
    <row r="69" ht="23" customHeight="1" spans="1:3" x14ac:dyDescent="0.25">
      <c r="B69" s="249" t="s">
        <v>167</v>
      </c>
      <c r="C69" s="20" t="s">
        <v>167</v>
      </c>
    </row>
    <row r="70" ht="23" customHeight="1" spans="1:2" x14ac:dyDescent="0.25">
      <c r="B70" s="249"/>
    </row>
  </sheetData>
  <pageMargins left="0.7" right="0.7" top="0.75" bottom="0.75" header="0.3" footer="0.3"/>
  <pageSetup paperSize="8" orientation="portrait" horizontalDpi="0" verticalDpi="0" scale="66"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zoomScale="100" zoomScaleNormal="100">
      <selection activeCell="I21" sqref="I21"/>
    </sheetView>
  </sheetViews>
  <sheetFormatPr defaultRowHeight="16" outlineLevelRow="0" outlineLevelCol="0" x14ac:dyDescent="0" defaultColWidth="11" customHeight="1"/>
  <cols>
    <col min="1" max="1" width="12.1640625" customWidth="1"/>
    <col min="2" max="2" width="58.5" customWidth="1"/>
  </cols>
  <sheetData>
    <row r="1" ht="62" customHeight="1" spans="1:4" x14ac:dyDescent="0.25">
      <c r="A1" s="158" t="s">
        <v>414</v>
      </c>
      <c r="B1" s="158"/>
      <c r="C1" s="86"/>
      <c r="D1" s="86"/>
    </row>
    <row r="2" ht="23" customHeight="1" spans="1:8" x14ac:dyDescent="0.25">
      <c r="A2" s="158">
        <f>COUNTA(B3:B17)</f>
        <v>6</v>
      </c>
      <c r="B2" s="158"/>
      <c r="C2" s="86"/>
      <c r="D2" s="86"/>
      <c r="F2" s="157" t="s">
        <v>415</v>
      </c>
      <c r="G2" s="193"/>
      <c r="H2" s="193"/>
    </row>
    <row r="3" ht="23" customHeight="1" spans="1:2" x14ac:dyDescent="0.25">
      <c r="A3" s="164">
        <v>44281</v>
      </c>
      <c r="B3" s="171" t="s">
        <v>24</v>
      </c>
    </row>
    <row r="4" ht="24" customHeight="1" spans="1:2" x14ac:dyDescent="0.25">
      <c r="A4" s="164">
        <v>44281</v>
      </c>
      <c r="B4" s="171" t="s">
        <v>33</v>
      </c>
    </row>
    <row r="5" ht="24" customHeight="1" spans="1:2" x14ac:dyDescent="0.25">
      <c r="A5" s="164">
        <v>44281</v>
      </c>
      <c r="B5" s="171" t="s">
        <v>40</v>
      </c>
    </row>
    <row r="6" ht="24" customHeight="1" spans="1:2" x14ac:dyDescent="0.25">
      <c r="A6" s="164">
        <v>44281</v>
      </c>
      <c r="B6" s="171" t="s">
        <v>8</v>
      </c>
    </row>
    <row r="7" ht="24" customHeight="1" spans="1:2" x14ac:dyDescent="0.25">
      <c r="A7" s="164">
        <v>45252</v>
      </c>
      <c r="B7" s="171" t="s">
        <v>416</v>
      </c>
    </row>
    <row r="8" ht="24" customHeight="1" spans="1:2" x14ac:dyDescent="0.25">
      <c r="A8" s="164">
        <v>45804</v>
      </c>
      <c r="B8" s="171" t="s">
        <v>48</v>
      </c>
    </row>
    <row r="9" ht="24" customHeight="1" spans="1:2" x14ac:dyDescent="0.25">
      <c r="A9" s="164"/>
      <c r="B9" s="171"/>
    </row>
    <row r="10" ht="24" customHeight="1" spans="1:2" x14ac:dyDescent="0.25">
      <c r="A10" s="164"/>
      <c r="B10" s="171"/>
    </row>
    <row r="11" ht="24" customHeight="1" spans="1:2" x14ac:dyDescent="0.25">
      <c r="A11" s="164"/>
      <c r="B11" s="171"/>
    </row>
    <row r="12" ht="24" customHeight="1" spans="1:2" x14ac:dyDescent="0.25">
      <c r="A12" s="164"/>
      <c r="B12" s="171"/>
    </row>
    <row r="13" ht="24" customHeight="1" spans="1:2" x14ac:dyDescent="0.25">
      <c r="A13" s="164"/>
      <c r="B13" s="171"/>
    </row>
    <row r="14" ht="24" customHeight="1" spans="1:2" x14ac:dyDescent="0.25">
      <c r="A14" s="164"/>
      <c r="B14" s="171"/>
    </row>
    <row r="15" ht="24" customHeight="1" spans="1:2" x14ac:dyDescent="0.25">
      <c r="A15" s="170"/>
      <c r="B15" s="171"/>
    </row>
    <row r="16" ht="24" customHeight="1" spans="1:2" x14ac:dyDescent="0.25">
      <c r="A16" s="170"/>
      <c r="B16" s="171"/>
    </row>
    <row r="17" ht="24" customHeight="1" spans="1:2" x14ac:dyDescent="0.25">
      <c r="A17" s="170"/>
      <c r="B17" s="171"/>
    </row>
    <row r="18" ht="23" customHeight="1" spans="1:2" x14ac:dyDescent="0.25">
      <c r="B18" s="184"/>
    </row>
    <row r="20" ht="25" customHeight="1" spans="1:2" x14ac:dyDescent="0.25">
      <c r="B20" s="194"/>
    </row>
    <row r="21" ht="24" customHeight="1" spans="1:2" x14ac:dyDescent="0.25">
      <c r="B21" s="195"/>
    </row>
    <row r="22" ht="24" customHeight="1" spans="1:2" x14ac:dyDescent="0.25">
      <c r="B22" s="195"/>
    </row>
  </sheetData>
  <mergeCells count="2">
    <mergeCell ref="A1:B1"/>
    <mergeCell ref="A2:B2"/>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Views>
    <sheetView workbookViewId="0" zoomScale="100" zoomScaleNormal="100">
      <selection activeCell="E2" sqref="E2"/>
    </sheetView>
  </sheetViews>
  <sheetFormatPr defaultRowHeight="16" outlineLevelRow="0" outlineLevelCol="0" x14ac:dyDescent="0" defaultColWidth="11" customHeight="1"/>
  <cols>
    <col min="1" max="1" width="12.1640625" customWidth="1"/>
    <col min="2" max="2" width="58.5" customWidth="1"/>
    <col min="4" max="4" width="4" customWidth="1"/>
    <col min="5" max="5" width="60.1640625" customWidth="1"/>
    <col min="8" max="8" width="11.6640625" customWidth="1"/>
    <col min="11" max="11" width="3.6640625" customWidth="1"/>
    <col min="12" max="12" width="40.33203125" customWidth="1"/>
  </cols>
  <sheetData>
    <row r="1" ht="17" customHeight="1" spans="1:9" x14ac:dyDescent="0.25">
      <c r="A1" s="196" t="s">
        <v>417</v>
      </c>
      <c r="B1" s="197"/>
      <c r="H1" s="198" t="s">
        <v>418</v>
      </c>
      <c r="I1" s="198"/>
    </row>
    <row r="2" ht="62" customHeight="1" spans="1:10" x14ac:dyDescent="0.25">
      <c r="A2" s="158" t="s">
        <v>419</v>
      </c>
      <c r="B2" s="158"/>
      <c r="C2" s="86"/>
      <c r="D2" s="86"/>
      <c r="E2" s="199" t="s">
        <v>420</v>
      </c>
      <c r="F2" s="200"/>
      <c r="G2" s="200"/>
      <c r="H2" s="200"/>
      <c r="I2" s="200"/>
      <c r="J2" s="200"/>
    </row>
    <row r="3" ht="23" customHeight="1" spans="1:10" x14ac:dyDescent="0.25">
      <c r="A3" s="158">
        <f>COUNTA(B4:B21)</f>
        <v>17</v>
      </c>
      <c r="B3" s="158"/>
      <c r="E3" s="201" t="s">
        <v>421</v>
      </c>
      <c r="F3" s="202"/>
      <c r="G3" s="203"/>
      <c r="H3" s="203"/>
      <c r="I3" s="203"/>
      <c r="J3" s="203"/>
    </row>
    <row r="4" ht="35" customHeight="1" spans="1:10" x14ac:dyDescent="0.25">
      <c r="A4" s="204">
        <v>2026</v>
      </c>
      <c r="B4" s="205" t="s">
        <v>422</v>
      </c>
      <c r="C4" s="206"/>
      <c r="E4" s="207">
        <f t="shared" ref="E4:J4" si="0">COUNTA(E7:E23)</f>
        <v>17</v>
      </c>
      <c r="F4" s="208">
        <f t="shared" si="0"/>
        <v>12</v>
      </c>
      <c r="G4" s="208">
        <f t="shared" si="0"/>
        <v>7</v>
      </c>
      <c r="H4" s="208">
        <f t="shared" si="0"/>
        <v>9</v>
      </c>
      <c r="I4" s="208">
        <f t="shared" si="0"/>
        <v>8</v>
      </c>
      <c r="J4" s="208">
        <f t="shared" si="0"/>
        <v>5</v>
      </c>
    </row>
    <row r="5" ht="35" customHeight="1" spans="1:10" x14ac:dyDescent="0.25">
      <c r="A5" s="209">
        <v>2025</v>
      </c>
      <c r="B5" s="209"/>
      <c r="C5" s="206"/>
      <c r="E5" s="210"/>
      <c r="F5" s="210"/>
      <c r="G5" s="211"/>
      <c r="H5" s="211"/>
      <c r="I5" s="211"/>
      <c r="J5" s="211"/>
    </row>
    <row r="6" ht="35" customHeight="1" spans="1:10" x14ac:dyDescent="0.25">
      <c r="A6" s="212">
        <v>2024</v>
      </c>
      <c r="B6" s="213" t="s">
        <v>102</v>
      </c>
      <c r="C6" s="206"/>
      <c r="E6" s="214"/>
      <c r="F6" s="215">
        <v>2026</v>
      </c>
      <c r="G6" s="216">
        <v>2025</v>
      </c>
      <c r="H6" s="215">
        <v>2024</v>
      </c>
      <c r="I6" s="215">
        <v>2023</v>
      </c>
      <c r="J6" s="215">
        <v>2022</v>
      </c>
    </row>
    <row r="7" ht="35" customHeight="1" spans="1:10" x14ac:dyDescent="0.25">
      <c r="A7" s="212">
        <v>2024</v>
      </c>
      <c r="B7" s="213" t="s">
        <v>97</v>
      </c>
      <c r="C7" s="206"/>
      <c r="E7" s="214" t="s">
        <v>423</v>
      </c>
      <c r="F7" s="215" t="s">
        <v>424</v>
      </c>
      <c r="G7" s="216" t="s">
        <v>424</v>
      </c>
      <c r="H7" s="215" t="s">
        <v>424</v>
      </c>
      <c r="I7" s="215"/>
      <c r="J7" s="215"/>
    </row>
    <row r="8" ht="35" customHeight="1" spans="1:10" x14ac:dyDescent="0.25">
      <c r="A8" s="212">
        <v>2024</v>
      </c>
      <c r="B8" s="213" t="s">
        <v>425</v>
      </c>
      <c r="E8" s="214" t="s">
        <v>17</v>
      </c>
      <c r="F8" s="215"/>
      <c r="G8" s="215"/>
      <c r="H8" s="216" t="s">
        <v>424</v>
      </c>
      <c r="I8" s="215"/>
      <c r="J8" s="215"/>
    </row>
    <row r="9" ht="35" customHeight="1" spans="1:10" x14ac:dyDescent="0.25">
      <c r="A9" s="217">
        <v>2023</v>
      </c>
      <c r="B9" s="218" t="s">
        <v>426</v>
      </c>
      <c r="E9" s="214" t="s">
        <v>102</v>
      </c>
      <c r="F9" s="215"/>
      <c r="G9" s="170"/>
      <c r="H9" s="215" t="s">
        <v>424</v>
      </c>
      <c r="I9" s="170"/>
      <c r="J9" s="170"/>
    </row>
    <row r="10" ht="35" customHeight="1" spans="1:10" x14ac:dyDescent="0.25">
      <c r="A10" s="219">
        <v>2022</v>
      </c>
      <c r="B10" s="220" t="s">
        <v>60</v>
      </c>
      <c r="E10" s="214" t="s">
        <v>427</v>
      </c>
      <c r="F10" s="215" t="s">
        <v>424</v>
      </c>
      <c r="G10" s="215" t="s">
        <v>424</v>
      </c>
      <c r="H10" s="215"/>
      <c r="I10" s="215" t="s">
        <v>424</v>
      </c>
      <c r="J10" s="215" t="s">
        <v>424</v>
      </c>
    </row>
    <row r="11" ht="35" customHeight="1" spans="1:10" x14ac:dyDescent="0.25">
      <c r="A11" s="219">
        <v>2022</v>
      </c>
      <c r="B11" s="220" t="s">
        <v>428</v>
      </c>
      <c r="E11" s="214" t="s">
        <v>425</v>
      </c>
      <c r="F11" s="215" t="s">
        <v>424</v>
      </c>
      <c r="G11" s="215"/>
      <c r="H11" s="215" t="s">
        <v>424</v>
      </c>
      <c r="I11" s="215"/>
      <c r="J11" s="215"/>
    </row>
    <row r="12" ht="35" customHeight="1" spans="1:10" x14ac:dyDescent="0.25">
      <c r="A12" s="219">
        <v>2022</v>
      </c>
      <c r="B12" s="220" t="s">
        <v>429</v>
      </c>
      <c r="E12" s="214" t="s">
        <v>49</v>
      </c>
      <c r="F12" s="215" t="s">
        <v>424</v>
      </c>
      <c r="G12" s="215" t="s">
        <v>424</v>
      </c>
      <c r="H12" s="215" t="s">
        <v>424</v>
      </c>
      <c r="I12" s="216" t="s">
        <v>424</v>
      </c>
      <c r="J12" s="215" t="s">
        <v>424</v>
      </c>
    </row>
    <row r="13" ht="35" customHeight="1" spans="1:10" x14ac:dyDescent="0.25">
      <c r="A13" s="221">
        <v>2021</v>
      </c>
      <c r="B13" s="222" t="s">
        <v>9</v>
      </c>
      <c r="E13" s="214" t="s">
        <v>25</v>
      </c>
      <c r="F13" s="215" t="s">
        <v>424</v>
      </c>
      <c r="G13" s="215"/>
      <c r="H13" s="215"/>
      <c r="I13" s="215"/>
      <c r="J13" s="215"/>
    </row>
    <row r="14" ht="35" customHeight="1" spans="1:10" x14ac:dyDescent="0.25">
      <c r="A14" s="221">
        <v>2021</v>
      </c>
      <c r="B14" s="222" t="s">
        <v>17</v>
      </c>
      <c r="E14" s="214" t="s">
        <v>34</v>
      </c>
      <c r="F14" s="215"/>
      <c r="G14" s="215"/>
      <c r="H14" s="215"/>
      <c r="I14" s="215" t="s">
        <v>424</v>
      </c>
      <c r="J14" s="215"/>
    </row>
    <row r="15" ht="35" customHeight="1" spans="1:10" x14ac:dyDescent="0.25">
      <c r="A15" s="221">
        <v>2021</v>
      </c>
      <c r="B15" s="222" t="s">
        <v>49</v>
      </c>
      <c r="E15" s="214" t="s">
        <v>41</v>
      </c>
      <c r="F15" s="215"/>
      <c r="G15" s="215"/>
      <c r="H15" s="215"/>
      <c r="I15" s="215" t="s">
        <v>424</v>
      </c>
      <c r="J15" s="215"/>
    </row>
    <row r="16" ht="35" customHeight="1" spans="1:10" x14ac:dyDescent="0.25">
      <c r="A16" s="221">
        <v>2021</v>
      </c>
      <c r="B16" s="222" t="s">
        <v>25</v>
      </c>
      <c r="E16" s="214" t="s">
        <v>430</v>
      </c>
      <c r="F16" s="215" t="s">
        <v>424</v>
      </c>
      <c r="G16" s="215" t="s">
        <v>424</v>
      </c>
      <c r="H16" s="215" t="s">
        <v>424</v>
      </c>
      <c r="I16" s="215" t="s">
        <v>424</v>
      </c>
      <c r="J16" s="215" t="s">
        <v>424</v>
      </c>
    </row>
    <row r="17" ht="35" customHeight="1" spans="1:10" x14ac:dyDescent="0.25">
      <c r="A17" s="221">
        <v>2021</v>
      </c>
      <c r="B17" s="222" t="s">
        <v>34</v>
      </c>
      <c r="E17" s="214" t="s">
        <v>431</v>
      </c>
      <c r="F17" s="215" t="s">
        <v>424</v>
      </c>
      <c r="G17" s="215" t="s">
        <v>424</v>
      </c>
      <c r="H17" s="215" t="s">
        <v>424</v>
      </c>
      <c r="I17" s="223" t="s">
        <v>424</v>
      </c>
      <c r="J17" s="215" t="s">
        <v>424</v>
      </c>
    </row>
    <row r="18" ht="35" customHeight="1" spans="1:10" x14ac:dyDescent="0.25">
      <c r="A18" s="221">
        <v>2021</v>
      </c>
      <c r="B18" s="222" t="s">
        <v>41</v>
      </c>
      <c r="E18" s="214" t="s">
        <v>432</v>
      </c>
      <c r="F18" s="215" t="s">
        <v>424</v>
      </c>
      <c r="G18" s="215"/>
      <c r="H18" s="215"/>
      <c r="I18" s="215" t="s">
        <v>424</v>
      </c>
      <c r="J18" s="215"/>
    </row>
    <row r="19" ht="35" customHeight="1" spans="1:10" x14ac:dyDescent="0.25">
      <c r="A19" s="221">
        <v>2021</v>
      </c>
      <c r="B19" s="222" t="s">
        <v>433</v>
      </c>
      <c r="E19" s="214" t="s">
        <v>434</v>
      </c>
      <c r="F19" s="215"/>
      <c r="G19" s="215"/>
      <c r="H19" s="215"/>
      <c r="I19" s="215" t="s">
        <v>424</v>
      </c>
      <c r="J19" s="215"/>
    </row>
    <row r="20" ht="35" customHeight="1" spans="1:10" x14ac:dyDescent="0.25">
      <c r="A20" s="221">
        <v>2021</v>
      </c>
      <c r="B20" s="222" t="s">
        <v>75</v>
      </c>
      <c r="E20" s="214" t="s">
        <v>75</v>
      </c>
      <c r="F20" s="215" t="s">
        <v>424</v>
      </c>
      <c r="G20" s="215" t="s">
        <v>424</v>
      </c>
      <c r="H20" s="215" t="s">
        <v>424</v>
      </c>
      <c r="I20" s="215"/>
      <c r="J20" s="215"/>
    </row>
    <row r="21" ht="35" customHeight="1" spans="1:10" x14ac:dyDescent="0.25">
      <c r="A21" s="221">
        <v>2021</v>
      </c>
      <c r="B21" s="222" t="s">
        <v>435</v>
      </c>
      <c r="E21" s="214" t="s">
        <v>97</v>
      </c>
      <c r="F21" s="215" t="s">
        <v>424</v>
      </c>
      <c r="G21" s="215"/>
      <c r="H21" s="215" t="s">
        <v>424</v>
      </c>
      <c r="I21" s="215"/>
      <c r="J21" s="215"/>
    </row>
    <row r="22" ht="35" customHeight="1" spans="1:10" x14ac:dyDescent="0.25">
      <c r="A22" s="224"/>
      <c r="B22" s="171"/>
      <c r="D22" s="197"/>
      <c r="E22" s="214" t="s">
        <v>422</v>
      </c>
      <c r="F22" s="223" t="s">
        <v>424</v>
      </c>
      <c r="G22" s="215"/>
      <c r="H22" s="215"/>
      <c r="I22" s="215"/>
      <c r="J22" s="215"/>
    </row>
    <row r="23" ht="35" customHeight="1" spans="1:10" x14ac:dyDescent="0.25">
      <c r="A23" s="224"/>
      <c r="B23" s="171"/>
      <c r="E23" s="214" t="s">
        <v>60</v>
      </c>
      <c r="F23" s="215" t="s">
        <v>424</v>
      </c>
      <c r="G23" s="215" t="s">
        <v>424</v>
      </c>
      <c r="H23" s="215"/>
      <c r="I23" s="215"/>
      <c r="J23" s="215" t="s">
        <v>424</v>
      </c>
    </row>
    <row r="24" ht="25" customHeight="1" spans="1:9" x14ac:dyDescent="0.25">
      <c r="B24" s="184"/>
      <c r="F24" s="225" t="s">
        <v>436</v>
      </c>
      <c r="G24" s="226"/>
      <c r="H24" s="226"/>
      <c r="I24" s="227"/>
    </row>
    <row r="25" ht="25" customHeight="1" spans="1:10" x14ac:dyDescent="0.25">
      <c r="G25" s="228">
        <v>799</v>
      </c>
      <c r="H25" s="228">
        <v>844</v>
      </c>
      <c r="I25" s="228">
        <v>552</v>
      </c>
      <c r="J25" s="228">
        <v>492</v>
      </c>
    </row>
    <row r="26" ht="17" customHeight="1" spans="1:10" x14ac:dyDescent="0.25">
      <c r="D26" s="229"/>
      <c r="E26" s="197" t="s">
        <v>437</v>
      </c>
      <c r="G26" s="230">
        <v>-0.05</v>
      </c>
      <c r="H26" s="230">
        <v>0.53</v>
      </c>
      <c r="I26" s="230">
        <v>0.12</v>
      </c>
      <c r="J26" s="228" t="s">
        <v>438</v>
      </c>
    </row>
    <row r="27" ht="25" customHeight="1" spans="1:5" x14ac:dyDescent="0.25">
      <c r="B27" s="194"/>
      <c r="D27" s="231"/>
      <c r="E27" s="197" t="s">
        <v>439</v>
      </c>
    </row>
    <row r="28" ht="24" customHeight="1" spans="1:5" x14ac:dyDescent="0.25">
      <c r="B28" s="195"/>
      <c r="D28" s="232"/>
      <c r="E28" s="197" t="s">
        <v>440</v>
      </c>
    </row>
    <row r="29" ht="24" customHeight="1" spans="1:2" x14ac:dyDescent="0.25">
      <c r="B29" s="195"/>
    </row>
  </sheetData>
  <mergeCells count="6">
    <mergeCell ref="H1:I1"/>
    <mergeCell ref="A2:B2"/>
    <mergeCell ref="E2:J2"/>
    <mergeCell ref="A3:B3"/>
    <mergeCell ref="F3:J3"/>
    <mergeCell ref="F24:I24"/>
  </mergeCells>
  <pageMargins left="0.7" right="0.7" top="0.75" bottom="0.75" header="0.3" footer="0.3"/>
  <pageSetup paperSize="9" orientation="portrait" horizontalDpi="4294967295" verticalDpi="4294967295" scale="75" fitToWidth="1" fitToHeight="1" firstPageNumber="1" useFirstPageNumber="1" copies="4"/>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7"/>
  <sheetViews>
    <sheetView workbookViewId="0" zoomScale="100" zoomScaleNormal="100">
      <selection activeCell="G7" sqref="G7"/>
    </sheetView>
  </sheetViews>
  <sheetFormatPr defaultRowHeight="16" outlineLevelRow="0" outlineLevelCol="0" x14ac:dyDescent="0" defaultColWidth="11" customHeight="1"/>
  <cols>
    <col min="1" max="1" width="51.33203125" customWidth="1"/>
    <col min="2" max="2" width="76.33203125" customWidth="1"/>
    <col min="3" max="3" width="29.6640625" customWidth="1"/>
    <col min="4" max="4" width="72" customWidth="1"/>
    <col min="5" max="5" width="48.6640625" customWidth="1"/>
    <col min="6" max="6" width="34.1640625" customWidth="1"/>
    <col min="7" max="7" width="43.1640625" customWidth="1"/>
    <col min="8" max="8" width="60.6640625" customWidth="1"/>
    <col min="9" max="9" width="57.83203125" customWidth="1"/>
    <col min="10" max="10" width="45.83203125" customWidth="1"/>
    <col min="11" max="11" width="28.83203125" customWidth="1"/>
    <col min="12" max="12" width="43" customWidth="1"/>
    <col min="13" max="13" width="63" customWidth="1"/>
    <col min="14" max="14" width="63.83203125" customWidth="1"/>
    <col min="15" max="15" width="76.1640625" customWidth="1"/>
    <col min="16" max="16" width="62.33203125" customWidth="1"/>
  </cols>
  <sheetData>
    <row r="1" ht="76" customHeight="1" spans="1:16" x14ac:dyDescent="0.25">
      <c r="A1" s="254" t="s">
        <v>475</v>
      </c>
      <c r="B1" s="254"/>
      <c r="C1" s="254"/>
      <c r="D1" s="254"/>
      <c r="E1" s="254"/>
      <c r="F1" s="254"/>
      <c r="G1" s="254"/>
      <c r="H1" s="254"/>
      <c r="I1" s="254"/>
      <c r="J1" s="254"/>
      <c r="K1" s="254"/>
      <c r="L1" s="254"/>
      <c r="M1" s="254"/>
      <c r="N1" s="254"/>
      <c r="O1" s="254"/>
      <c r="P1" s="254"/>
    </row>
    <row r="2" ht="22" customHeight="1" spans="1:16" s="9" customFormat="1" x14ac:dyDescent="0.25">
      <c r="A2" s="255">
        <f>SUM(A4:P4)</f>
        <v>212</v>
      </c>
      <c r="B2" s="256" t="s">
        <v>476</v>
      </c>
      <c r="C2" s="257"/>
      <c r="D2" s="257"/>
      <c r="E2" s="257"/>
      <c r="F2" s="257"/>
      <c r="G2" s="257"/>
      <c r="H2" s="257"/>
      <c r="I2" s="257"/>
      <c r="J2" s="257"/>
      <c r="K2" s="257"/>
      <c r="L2" s="257"/>
      <c r="M2" s="257"/>
      <c r="N2" s="257"/>
      <c r="O2" s="257"/>
      <c r="P2" s="257"/>
    </row>
    <row r="3" ht="28" customHeight="1" spans="1:16" s="206" customFormat="1" x14ac:dyDescent="0.25">
      <c r="A3" s="255" t="s">
        <v>477</v>
      </c>
      <c r="B3" s="255" t="s">
        <v>478</v>
      </c>
      <c r="C3" s="255" t="s">
        <v>479</v>
      </c>
      <c r="D3" s="255" t="s">
        <v>480</v>
      </c>
      <c r="E3" s="255" t="s">
        <v>481</v>
      </c>
      <c r="F3" s="255" t="s">
        <v>482</v>
      </c>
      <c r="G3" s="255" t="s">
        <v>483</v>
      </c>
      <c r="H3" s="255" t="s">
        <v>484</v>
      </c>
      <c r="I3" s="255" t="s">
        <v>485</v>
      </c>
      <c r="J3" s="258" t="s">
        <v>486</v>
      </c>
      <c r="K3" s="258" t="s">
        <v>487</v>
      </c>
      <c r="L3" s="258" t="s">
        <v>488</v>
      </c>
      <c r="M3" s="258" t="s">
        <v>489</v>
      </c>
      <c r="N3" s="258" t="s">
        <v>490</v>
      </c>
      <c r="O3" s="258" t="s">
        <v>491</v>
      </c>
      <c r="P3" s="258" t="s">
        <v>492</v>
      </c>
    </row>
    <row r="4" ht="28" customHeight="1" spans="1:16" s="259" customFormat="1" x14ac:dyDescent="0.25">
      <c r="A4" s="260">
        <f>COUNTA(A5:A33)</f>
        <v>29</v>
      </c>
      <c r="B4" s="260">
        <f>COUNTA(B5:B38)</f>
        <v>33</v>
      </c>
      <c r="C4" s="260">
        <f t="shared" ref="C4:P4" si="0">COUNTA(C5:C41)</f>
        <v>2</v>
      </c>
      <c r="D4" s="260">
        <f>COUNTA(D5:D35)</f>
        <v>19</v>
      </c>
      <c r="E4" s="260">
        <f>COUNTA(E5:E39)</f>
        <v>17</v>
      </c>
      <c r="F4" s="260">
        <f t="shared" si="0"/>
        <v>3</v>
      </c>
      <c r="G4" s="260">
        <f>COUNTA(G5:G38)</f>
        <v>4</v>
      </c>
      <c r="H4" s="260">
        <f>COUNTA(H5:H40)</f>
        <v>7</v>
      </c>
      <c r="I4" s="260">
        <f>COUNTA(I5:I40)</f>
        <v>13</v>
      </c>
      <c r="J4" s="260">
        <f>COUNTA(J5:J28)</f>
        <v>10</v>
      </c>
      <c r="K4" s="260">
        <f>COUNTA(K5:K39)</f>
        <v>15</v>
      </c>
      <c r="L4" s="260">
        <f>COUNTA(L5:L41)</f>
        <v>5</v>
      </c>
      <c r="M4" s="260">
        <f>COUNTA(M5:M36)</f>
        <v>17</v>
      </c>
      <c r="N4" s="260">
        <f>COUNTA(N5:N40)</f>
        <v>10</v>
      </c>
      <c r="O4" s="260">
        <f>COUNTA(O5:O38)</f>
        <v>15</v>
      </c>
      <c r="P4" s="260">
        <f t="shared" si="0"/>
        <v>13</v>
      </c>
    </row>
    <row r="5" ht="19" customHeight="1" spans="1:16" s="65" customFormat="1" x14ac:dyDescent="0.25">
      <c r="A5" s="261" t="s">
        <v>493</v>
      </c>
      <c r="B5" s="261" t="s">
        <v>494</v>
      </c>
      <c r="C5" s="261" t="s">
        <v>495</v>
      </c>
      <c r="D5" s="262" t="s">
        <v>496</v>
      </c>
      <c r="E5" s="262" t="s">
        <v>497</v>
      </c>
      <c r="F5" s="262" t="s">
        <v>45</v>
      </c>
      <c r="G5" s="262" t="s">
        <v>498</v>
      </c>
      <c r="H5" s="262" t="s">
        <v>499</v>
      </c>
      <c r="I5" s="262" t="s">
        <v>500</v>
      </c>
      <c r="J5" s="262" t="s">
        <v>30</v>
      </c>
      <c r="K5" s="262" t="s">
        <v>501</v>
      </c>
      <c r="L5" s="262" t="s">
        <v>459</v>
      </c>
      <c r="M5" s="262" t="s">
        <v>35</v>
      </c>
      <c r="N5" s="262" t="s">
        <v>502</v>
      </c>
      <c r="O5" s="262" t="s">
        <v>503</v>
      </c>
      <c r="P5" s="263" t="s">
        <v>504</v>
      </c>
    </row>
    <row r="6" ht="19" customHeight="1" spans="1:16" s="65" customFormat="1" x14ac:dyDescent="0.25">
      <c r="A6" s="262" t="s">
        <v>505</v>
      </c>
      <c r="B6" s="262" t="s">
        <v>506</v>
      </c>
      <c r="C6" s="262" t="s">
        <v>507</v>
      </c>
      <c r="D6" s="262" t="s">
        <v>508</v>
      </c>
      <c r="E6" s="262" t="s">
        <v>509</v>
      </c>
      <c r="F6" s="262" t="s">
        <v>510</v>
      </c>
      <c r="G6" s="262" t="s">
        <v>511</v>
      </c>
      <c r="H6" s="262" t="s">
        <v>512</v>
      </c>
      <c r="I6" s="262" t="s">
        <v>513</v>
      </c>
      <c r="J6" s="262" t="s">
        <v>514</v>
      </c>
      <c r="K6" s="262" t="s">
        <v>515</v>
      </c>
      <c r="L6" s="262" t="s">
        <v>516</v>
      </c>
      <c r="M6" s="262" t="s">
        <v>517</v>
      </c>
      <c r="N6" s="262" t="s">
        <v>518</v>
      </c>
      <c r="O6" s="262" t="s">
        <v>519</v>
      </c>
      <c r="P6" s="264" t="s">
        <v>520</v>
      </c>
    </row>
    <row r="7" ht="19" customHeight="1" spans="1:16" s="65" customFormat="1" x14ac:dyDescent="0.25">
      <c r="A7" s="262" t="s">
        <v>521</v>
      </c>
      <c r="B7" s="262" t="s">
        <v>110</v>
      </c>
      <c r="C7" s="265"/>
      <c r="D7" s="262" t="s">
        <v>522</v>
      </c>
      <c r="E7" s="262" t="s">
        <v>523</v>
      </c>
      <c r="F7" s="262" t="s">
        <v>524</v>
      </c>
      <c r="G7" s="262" t="s">
        <v>194</v>
      </c>
      <c r="H7" s="262" t="s">
        <v>525</v>
      </c>
      <c r="I7" s="262" t="s">
        <v>526</v>
      </c>
      <c r="J7" s="262" t="s">
        <v>527</v>
      </c>
      <c r="K7" s="262" t="s">
        <v>528</v>
      </c>
      <c r="L7" s="262" t="s">
        <v>529</v>
      </c>
      <c r="M7" s="262" t="s">
        <v>530</v>
      </c>
      <c r="N7" s="262" t="s">
        <v>531</v>
      </c>
      <c r="O7" s="262" t="s">
        <v>532</v>
      </c>
      <c r="P7" s="264" t="s">
        <v>533</v>
      </c>
    </row>
    <row r="8" ht="19" customHeight="1" spans="1:16" s="65" customFormat="1" x14ac:dyDescent="0.25">
      <c r="A8" s="262" t="s">
        <v>534</v>
      </c>
      <c r="B8" s="262" t="s">
        <v>535</v>
      </c>
      <c r="C8" s="265"/>
      <c r="D8" s="262" t="s">
        <v>536</v>
      </c>
      <c r="E8" s="262" t="s">
        <v>71</v>
      </c>
      <c r="F8" s="265"/>
      <c r="G8" s="262" t="s">
        <v>537</v>
      </c>
      <c r="H8" s="262" t="s">
        <v>538</v>
      </c>
      <c r="I8" s="262" t="s">
        <v>539</v>
      </c>
      <c r="J8" s="262" t="s">
        <v>540</v>
      </c>
      <c r="K8" s="262" t="s">
        <v>150</v>
      </c>
      <c r="L8" s="262" t="s">
        <v>541</v>
      </c>
      <c r="M8" s="262" t="s">
        <v>542</v>
      </c>
      <c r="N8" s="262" t="s">
        <v>543</v>
      </c>
      <c r="O8" s="262" t="s">
        <v>544</v>
      </c>
      <c r="P8" s="264" t="s">
        <v>178</v>
      </c>
    </row>
    <row r="9" ht="19" customHeight="1" spans="1:16" s="65" customFormat="1" x14ac:dyDescent="0.25">
      <c r="A9" s="262" t="s">
        <v>42</v>
      </c>
      <c r="B9" s="262" t="s">
        <v>545</v>
      </c>
      <c r="C9" s="265"/>
      <c r="D9" s="262" t="s">
        <v>52</v>
      </c>
      <c r="E9" s="262" t="s">
        <v>546</v>
      </c>
      <c r="F9" s="265"/>
      <c r="G9" s="265"/>
      <c r="H9" s="262" t="s">
        <v>547</v>
      </c>
      <c r="I9" s="262" t="s">
        <v>548</v>
      </c>
      <c r="J9" s="262" t="s">
        <v>549</v>
      </c>
      <c r="K9" s="262" t="s">
        <v>550</v>
      </c>
      <c r="L9" s="262" t="s">
        <v>551</v>
      </c>
      <c r="M9" s="262" t="s">
        <v>552</v>
      </c>
      <c r="N9" s="262" t="s">
        <v>553</v>
      </c>
      <c r="O9" s="262" t="s">
        <v>554</v>
      </c>
      <c r="P9" s="264" t="s">
        <v>555</v>
      </c>
    </row>
    <row r="10" ht="19" customHeight="1" spans="1:16" s="65" customFormat="1" x14ac:dyDescent="0.25">
      <c r="A10" s="262" t="s">
        <v>556</v>
      </c>
      <c r="B10" s="262" t="s">
        <v>93</v>
      </c>
      <c r="C10" s="265"/>
      <c r="D10" s="262" t="s">
        <v>523</v>
      </c>
      <c r="E10" s="262" t="s">
        <v>557</v>
      </c>
      <c r="F10" s="265"/>
      <c r="G10" s="265"/>
      <c r="H10" s="262" t="s">
        <v>558</v>
      </c>
      <c r="I10" s="262" t="s">
        <v>559</v>
      </c>
      <c r="J10" s="262" t="s">
        <v>143</v>
      </c>
      <c r="K10" s="262" t="s">
        <v>560</v>
      </c>
      <c r="L10" s="65"/>
      <c r="M10" s="262" t="s">
        <v>561</v>
      </c>
      <c r="N10" s="262" t="s">
        <v>562</v>
      </c>
      <c r="O10" s="262" t="s">
        <v>563</v>
      </c>
      <c r="P10" s="264" t="s">
        <v>564</v>
      </c>
    </row>
    <row r="11" ht="19" customHeight="1" spans="1:16" s="65" customFormat="1" x14ac:dyDescent="0.25">
      <c r="A11" s="262" t="s">
        <v>565</v>
      </c>
      <c r="B11" s="262" t="s">
        <v>566</v>
      </c>
      <c r="C11" s="265"/>
      <c r="D11" s="262" t="s">
        <v>567</v>
      </c>
      <c r="E11" s="262" t="s">
        <v>568</v>
      </c>
      <c r="F11" s="265"/>
      <c r="G11" s="265"/>
      <c r="H11" s="262" t="s">
        <v>569</v>
      </c>
      <c r="I11" s="262" t="s">
        <v>570</v>
      </c>
      <c r="J11" s="262" t="s">
        <v>185</v>
      </c>
      <c r="K11" s="262" t="s">
        <v>571</v>
      </c>
      <c r="L11" s="65"/>
      <c r="M11" s="262" t="s">
        <v>572</v>
      </c>
      <c r="N11" s="262" t="s">
        <v>573</v>
      </c>
      <c r="O11" s="262" t="s">
        <v>574</v>
      </c>
      <c r="P11" s="264" t="s">
        <v>575</v>
      </c>
    </row>
    <row r="12" ht="19" customHeight="1" spans="1:16" s="65" customFormat="1" x14ac:dyDescent="0.25">
      <c r="A12" s="262" t="s">
        <v>576</v>
      </c>
      <c r="B12" s="262" t="s">
        <v>577</v>
      </c>
      <c r="C12" s="265"/>
      <c r="D12" s="262" t="s">
        <v>578</v>
      </c>
      <c r="E12" s="262" t="s">
        <v>579</v>
      </c>
      <c r="F12" s="265"/>
      <c r="G12" s="265"/>
      <c r="H12" s="265"/>
      <c r="I12" s="262" t="s">
        <v>580</v>
      </c>
      <c r="J12" s="262" t="s">
        <v>581</v>
      </c>
      <c r="K12" s="262" t="s">
        <v>582</v>
      </c>
      <c r="L12" s="65"/>
      <c r="M12" s="262" t="s">
        <v>583</v>
      </c>
      <c r="N12" s="262" t="s">
        <v>584</v>
      </c>
      <c r="O12" s="262" t="s">
        <v>585</v>
      </c>
      <c r="P12" s="264" t="s">
        <v>586</v>
      </c>
    </row>
    <row r="13" ht="19" customHeight="1" spans="1:16" s="65" customFormat="1" x14ac:dyDescent="0.25">
      <c r="A13" s="262" t="s">
        <v>587</v>
      </c>
      <c r="B13" s="262" t="s">
        <v>588</v>
      </c>
      <c r="C13" s="265"/>
      <c r="D13" s="262" t="s">
        <v>557</v>
      </c>
      <c r="E13" s="262" t="s">
        <v>589</v>
      </c>
      <c r="F13" s="265"/>
      <c r="G13" s="265"/>
      <c r="H13" s="265"/>
      <c r="I13" s="262" t="s">
        <v>590</v>
      </c>
      <c r="J13" s="262" t="s">
        <v>591</v>
      </c>
      <c r="K13" s="262" t="s">
        <v>592</v>
      </c>
      <c r="L13" s="65"/>
      <c r="M13" s="262" t="s">
        <v>593</v>
      </c>
      <c r="N13" s="262" t="s">
        <v>594</v>
      </c>
      <c r="O13" s="262" t="s">
        <v>595</v>
      </c>
      <c r="P13" s="264" t="s">
        <v>596</v>
      </c>
    </row>
    <row r="14" ht="19" customHeight="1" spans="1:16" s="65" customFormat="1" x14ac:dyDescent="0.25">
      <c r="A14" s="262" t="s">
        <v>597</v>
      </c>
      <c r="B14" s="262" t="s">
        <v>598</v>
      </c>
      <c r="C14" s="265"/>
      <c r="D14" s="262" t="s">
        <v>599</v>
      </c>
      <c r="E14" s="262" t="s">
        <v>600</v>
      </c>
      <c r="F14" s="265"/>
      <c r="G14" s="265"/>
      <c r="H14" s="265"/>
      <c r="I14" s="262" t="s">
        <v>601</v>
      </c>
      <c r="J14" s="262" t="s">
        <v>602</v>
      </c>
      <c r="K14" s="262" t="s">
        <v>603</v>
      </c>
      <c r="L14" s="65"/>
      <c r="M14" s="262" t="s">
        <v>604</v>
      </c>
      <c r="N14" s="262" t="s">
        <v>605</v>
      </c>
      <c r="O14" s="262" t="s">
        <v>606</v>
      </c>
      <c r="P14" s="264" t="s">
        <v>607</v>
      </c>
    </row>
    <row r="15" ht="19" customHeight="1" spans="1:16" s="65" customFormat="1" x14ac:dyDescent="0.25">
      <c r="A15" s="262" t="s">
        <v>608</v>
      </c>
      <c r="B15" s="262" t="s">
        <v>609</v>
      </c>
      <c r="C15" s="265"/>
      <c r="D15" s="262" t="s">
        <v>153</v>
      </c>
      <c r="E15" s="262" t="s">
        <v>153</v>
      </c>
      <c r="F15" s="265"/>
      <c r="G15" s="265"/>
      <c r="H15" s="265"/>
      <c r="I15" s="262" t="s">
        <v>610</v>
      </c>
      <c r="J15" s="65"/>
      <c r="K15" s="262" t="s">
        <v>611</v>
      </c>
      <c r="L15" s="65"/>
      <c r="M15" s="262" t="s">
        <v>612</v>
      </c>
      <c r="N15" s="65"/>
      <c r="O15" s="262" t="s">
        <v>613</v>
      </c>
      <c r="P15" s="264" t="s">
        <v>614</v>
      </c>
    </row>
    <row r="16" ht="19" customHeight="1" spans="1:16" s="65" customFormat="1" x14ac:dyDescent="0.25">
      <c r="A16" s="262" t="s">
        <v>615</v>
      </c>
      <c r="B16" s="262" t="s">
        <v>616</v>
      </c>
      <c r="C16" s="265"/>
      <c r="D16" s="262" t="s">
        <v>617</v>
      </c>
      <c r="E16" s="262" t="s">
        <v>618</v>
      </c>
      <c r="F16" s="265"/>
      <c r="G16" s="265"/>
      <c r="H16" s="265"/>
      <c r="I16" s="262" t="s">
        <v>619</v>
      </c>
      <c r="J16" s="65"/>
      <c r="K16" s="262" t="s">
        <v>620</v>
      </c>
      <c r="L16" s="65"/>
      <c r="M16" s="262" t="s">
        <v>621</v>
      </c>
      <c r="N16" s="65"/>
      <c r="O16" s="262" t="s">
        <v>622</v>
      </c>
      <c r="P16" s="264" t="s">
        <v>623</v>
      </c>
    </row>
    <row r="17" ht="19" customHeight="1" spans="1:16" s="65" customFormat="1" x14ac:dyDescent="0.25">
      <c r="A17" s="262" t="s">
        <v>624</v>
      </c>
      <c r="B17" s="262" t="s">
        <v>625</v>
      </c>
      <c r="C17" s="265"/>
      <c r="D17" s="262" t="s">
        <v>626</v>
      </c>
      <c r="E17" s="262" t="s">
        <v>627</v>
      </c>
      <c r="F17" s="265"/>
      <c r="G17" s="265"/>
      <c r="H17" s="265"/>
      <c r="I17" s="262" t="s">
        <v>188</v>
      </c>
      <c r="J17" s="65"/>
      <c r="K17" s="262" t="s">
        <v>628</v>
      </c>
      <c r="L17" s="65"/>
      <c r="M17" s="262" t="s">
        <v>629</v>
      </c>
      <c r="N17" s="65"/>
      <c r="O17" s="262" t="s">
        <v>630</v>
      </c>
      <c r="P17" s="264" t="s">
        <v>631</v>
      </c>
    </row>
    <row r="18" ht="19" customHeight="1" spans="1:15" s="65" customFormat="1" x14ac:dyDescent="0.25">
      <c r="A18" s="262" t="s">
        <v>632</v>
      </c>
      <c r="B18" s="262" t="s">
        <v>633</v>
      </c>
      <c r="C18" s="265"/>
      <c r="D18" s="262" t="s">
        <v>634</v>
      </c>
      <c r="E18" s="262" t="s">
        <v>635</v>
      </c>
      <c r="F18" s="265"/>
      <c r="G18" s="265"/>
      <c r="H18" s="265"/>
      <c r="I18" s="265"/>
      <c r="J18" s="65"/>
      <c r="K18" s="262" t="s">
        <v>636</v>
      </c>
      <c r="L18" s="65"/>
      <c r="M18" s="262" t="s">
        <v>637</v>
      </c>
      <c r="N18" s="65"/>
      <c r="O18" s="262" t="s">
        <v>638</v>
      </c>
    </row>
    <row r="19" ht="19" customHeight="1" spans="1:15" s="65" customFormat="1" x14ac:dyDescent="0.25">
      <c r="A19" s="262" t="s">
        <v>639</v>
      </c>
      <c r="B19" s="262" t="s">
        <v>640</v>
      </c>
      <c r="C19" s="265"/>
      <c r="D19" s="262" t="s">
        <v>129</v>
      </c>
      <c r="E19" s="262" t="s">
        <v>641</v>
      </c>
      <c r="F19" s="265"/>
      <c r="G19" s="265"/>
      <c r="H19" s="265"/>
      <c r="I19" s="265"/>
      <c r="J19" s="65"/>
      <c r="K19" s="262" t="s">
        <v>190</v>
      </c>
      <c r="L19" s="65"/>
      <c r="M19" s="262" t="s">
        <v>642</v>
      </c>
      <c r="N19" s="65"/>
      <c r="O19" s="262" t="s">
        <v>643</v>
      </c>
    </row>
    <row r="20" ht="19" customHeight="1" spans="1:13" s="65" customFormat="1" x14ac:dyDescent="0.25">
      <c r="A20" s="262" t="s">
        <v>644</v>
      </c>
      <c r="B20" s="262" t="s">
        <v>645</v>
      </c>
      <c r="C20" s="265"/>
      <c r="D20" s="262" t="s">
        <v>646</v>
      </c>
      <c r="E20" s="262" t="s">
        <v>647</v>
      </c>
      <c r="F20" s="265"/>
      <c r="G20" s="265"/>
      <c r="H20" s="265"/>
      <c r="I20" s="265"/>
      <c r="J20" s="65"/>
      <c r="K20" s="65"/>
      <c r="L20" s="65"/>
      <c r="M20" s="262" t="s">
        <v>648</v>
      </c>
    </row>
    <row r="21" ht="19" customHeight="1" spans="1:13" s="65" customFormat="1" x14ac:dyDescent="0.25">
      <c r="A21" s="262" t="s">
        <v>649</v>
      </c>
      <c r="B21" s="262" t="s">
        <v>650</v>
      </c>
      <c r="C21" s="265"/>
      <c r="D21" s="262" t="s">
        <v>651</v>
      </c>
      <c r="E21" s="262" t="s">
        <v>652</v>
      </c>
      <c r="F21" s="265"/>
      <c r="G21" s="265"/>
      <c r="H21" s="265"/>
      <c r="I21" s="265"/>
      <c r="J21" s="65"/>
      <c r="K21" s="65"/>
      <c r="L21" s="65"/>
      <c r="M21" s="262" t="s">
        <v>175</v>
      </c>
    </row>
    <row r="22" ht="19" customHeight="1" spans="1:9" s="65" customFormat="1" x14ac:dyDescent="0.25">
      <c r="A22" s="262" t="s">
        <v>653</v>
      </c>
      <c r="B22" s="262" t="s">
        <v>654</v>
      </c>
      <c r="C22" s="265"/>
      <c r="D22" s="262" t="s">
        <v>655</v>
      </c>
      <c r="E22" s="265"/>
      <c r="F22" s="265"/>
      <c r="G22" s="265"/>
      <c r="H22" s="265"/>
      <c r="I22" s="265"/>
    </row>
    <row r="23" ht="19" customHeight="1" spans="1:9" s="65" customFormat="1" x14ac:dyDescent="0.25">
      <c r="A23" s="262" t="s">
        <v>166</v>
      </c>
      <c r="B23" s="262" t="s">
        <v>656</v>
      </c>
      <c r="C23" s="265"/>
      <c r="D23" s="262" t="s">
        <v>186</v>
      </c>
      <c r="E23" s="265"/>
      <c r="F23" s="265"/>
      <c r="G23" s="265"/>
      <c r="H23" s="265"/>
      <c r="I23" s="265"/>
    </row>
    <row r="24" ht="19" customHeight="1" spans="1:9" s="65" customFormat="1" x14ac:dyDescent="0.25">
      <c r="A24" s="262" t="s">
        <v>169</v>
      </c>
      <c r="B24" s="262" t="s">
        <v>657</v>
      </c>
      <c r="C24" s="265"/>
      <c r="D24" s="265"/>
      <c r="E24" s="265"/>
      <c r="F24" s="265"/>
      <c r="G24" s="265"/>
      <c r="H24" s="265"/>
      <c r="I24" s="265"/>
    </row>
    <row r="25" ht="19" customHeight="1" spans="1:9" s="65" customFormat="1" x14ac:dyDescent="0.25">
      <c r="A25" s="262" t="s">
        <v>658</v>
      </c>
      <c r="B25" s="262" t="s">
        <v>659</v>
      </c>
      <c r="C25" s="265"/>
      <c r="D25" s="265"/>
      <c r="E25" s="265"/>
      <c r="F25" s="265"/>
      <c r="G25" s="265"/>
      <c r="H25" s="265"/>
      <c r="I25" s="265"/>
    </row>
    <row r="26" ht="19" customHeight="1" spans="1:9" s="65" customFormat="1" x14ac:dyDescent="0.25">
      <c r="A26" s="262" t="s">
        <v>660</v>
      </c>
      <c r="B26" s="262" t="s">
        <v>661</v>
      </c>
      <c r="C26" s="265"/>
      <c r="D26" s="265"/>
      <c r="E26" s="265"/>
      <c r="F26" s="265"/>
      <c r="G26" s="265"/>
      <c r="H26" s="265"/>
      <c r="I26" s="265"/>
    </row>
    <row r="27" ht="19" customHeight="1" spans="1:9" s="65" customFormat="1" x14ac:dyDescent="0.25">
      <c r="A27" s="262" t="s">
        <v>171</v>
      </c>
      <c r="B27" s="262" t="s">
        <v>662</v>
      </c>
      <c r="C27" s="265"/>
      <c r="D27" s="265"/>
      <c r="E27" s="265"/>
      <c r="F27" s="265"/>
      <c r="G27" s="265"/>
      <c r="H27" s="265"/>
      <c r="I27" s="265"/>
    </row>
    <row r="28" ht="19" customHeight="1" spans="1:9" s="65" customFormat="1" x14ac:dyDescent="0.25">
      <c r="A28" s="262" t="s">
        <v>663</v>
      </c>
      <c r="B28" s="262" t="s">
        <v>156</v>
      </c>
      <c r="C28" s="265"/>
      <c r="D28" s="265"/>
      <c r="E28" s="265"/>
      <c r="F28" s="265"/>
      <c r="G28" s="265"/>
      <c r="H28" s="265"/>
      <c r="I28" s="265"/>
    </row>
    <row r="29" ht="19" customHeight="1" spans="1:9" s="65" customFormat="1" x14ac:dyDescent="0.25">
      <c r="A29" s="262" t="s">
        <v>664</v>
      </c>
      <c r="B29" s="262" t="s">
        <v>665</v>
      </c>
      <c r="C29" s="265"/>
      <c r="D29" s="265"/>
      <c r="E29" s="265"/>
      <c r="F29" s="265"/>
      <c r="G29" s="265"/>
      <c r="H29" s="265"/>
      <c r="I29" s="265"/>
    </row>
    <row r="30" ht="19" customHeight="1" spans="1:9" s="65" customFormat="1" x14ac:dyDescent="0.25">
      <c r="A30" s="262" t="s">
        <v>182</v>
      </c>
      <c r="B30" s="262" t="s">
        <v>666</v>
      </c>
      <c r="C30" s="265"/>
      <c r="D30" s="265"/>
      <c r="E30" s="265"/>
      <c r="F30" s="265"/>
      <c r="G30" s="265"/>
      <c r="H30" s="265"/>
      <c r="I30" s="265"/>
    </row>
    <row r="31" ht="19" customHeight="1" spans="1:9" s="65" customFormat="1" x14ac:dyDescent="0.25">
      <c r="A31" s="262" t="s">
        <v>162</v>
      </c>
      <c r="B31" s="262" t="s">
        <v>187</v>
      </c>
      <c r="C31" s="265"/>
      <c r="D31" s="265"/>
      <c r="E31" s="265"/>
      <c r="F31" s="265"/>
      <c r="G31" s="265"/>
      <c r="H31" s="265"/>
      <c r="I31" s="265"/>
    </row>
    <row r="32" ht="19" customHeight="1" spans="1:9" s="65" customFormat="1" x14ac:dyDescent="0.25">
      <c r="A32" s="262" t="s">
        <v>667</v>
      </c>
      <c r="B32" s="262" t="s">
        <v>668</v>
      </c>
      <c r="C32" s="265"/>
      <c r="D32" s="265"/>
      <c r="E32" s="265"/>
      <c r="F32" s="265"/>
      <c r="G32" s="265"/>
      <c r="H32" s="265"/>
      <c r="I32" s="265"/>
    </row>
    <row r="33" ht="19" customHeight="1" spans="1:9" s="65" customFormat="1" x14ac:dyDescent="0.25">
      <c r="A33" s="262" t="s">
        <v>669</v>
      </c>
      <c r="B33" s="262" t="s">
        <v>193</v>
      </c>
      <c r="C33" s="265"/>
      <c r="D33" s="265"/>
      <c r="E33" s="265"/>
      <c r="F33" s="265"/>
      <c r="G33" s="265"/>
      <c r="H33" s="265"/>
      <c r="I33" s="265"/>
    </row>
    <row r="34" ht="19" customHeight="1" spans="1:9" s="65" customFormat="1" x14ac:dyDescent="0.25">
      <c r="A34" s="265"/>
      <c r="B34" s="262" t="s">
        <v>670</v>
      </c>
      <c r="C34" s="265"/>
      <c r="D34" s="265"/>
      <c r="E34" s="265"/>
      <c r="F34" s="265"/>
      <c r="G34" s="265"/>
      <c r="H34" s="265"/>
      <c r="I34" s="265"/>
    </row>
    <row r="35" ht="19" customHeight="1" spans="1:9" s="65" customFormat="1" x14ac:dyDescent="0.25">
      <c r="A35" s="265"/>
      <c r="B35" s="262" t="s">
        <v>671</v>
      </c>
      <c r="C35" s="265"/>
      <c r="D35" s="65"/>
      <c r="E35" s="265"/>
      <c r="F35" s="265"/>
      <c r="G35" s="265"/>
      <c r="H35" s="265"/>
      <c r="I35" s="265"/>
    </row>
    <row r="36" ht="19" customHeight="1" spans="1:9" s="65" customFormat="1" x14ac:dyDescent="0.25">
      <c r="A36" s="265"/>
      <c r="B36" s="262" t="s">
        <v>672</v>
      </c>
      <c r="C36" s="265"/>
      <c r="D36" s="65"/>
      <c r="E36" s="265"/>
      <c r="F36" s="265"/>
      <c r="G36" s="265"/>
      <c r="H36" s="265"/>
      <c r="I36" s="265"/>
    </row>
    <row r="37" ht="19" customHeight="1" spans="1:9" s="65" customFormat="1" x14ac:dyDescent="0.25">
      <c r="A37" s="266">
        <f>281-211</f>
        <v>70</v>
      </c>
      <c r="B37" s="65"/>
      <c r="C37" s="265"/>
      <c r="D37" s="65"/>
      <c r="E37" s="265"/>
      <c r="F37" s="265"/>
      <c r="G37" s="265"/>
      <c r="H37" s="265"/>
      <c r="I37" s="265"/>
    </row>
    <row r="38" ht="62" customHeight="1" spans="1:9" s="65" customFormat="1" x14ac:dyDescent="0.25">
      <c r="A38" s="265"/>
      <c r="B38" s="267" t="s">
        <v>673</v>
      </c>
      <c r="C38" s="268"/>
      <c r="D38" s="65"/>
      <c r="E38" s="65"/>
      <c r="F38" s="265"/>
      <c r="G38" s="265"/>
      <c r="H38" s="265"/>
      <c r="I38" s="265"/>
    </row>
    <row r="39" ht="19" customHeight="1" spans="1:7" s="65" customFormat="1" x14ac:dyDescent="0.25">
      <c r="A39" s="65"/>
      <c r="B39" s="65"/>
      <c r="C39" s="265"/>
      <c r="D39" s="65"/>
      <c r="E39" s="65"/>
      <c r="F39" s="265"/>
      <c r="G39" s="265"/>
    </row>
    <row r="40" ht="19" customHeight="1" s="65" customFormat="1" x14ac:dyDescent="0.25"/>
    <row r="41" ht="19" customHeight="1" s="65" customFormat="1" x14ac:dyDescent="0.25"/>
    <row r="42" ht="62" customHeight="1" spans="1:2" s="65" customFormat="1" x14ac:dyDescent="0.25">
      <c r="A42" s="65"/>
      <c r="B42" s="268"/>
    </row>
    <row r="43" ht="19" customHeight="1" s="65" customFormat="1" x14ac:dyDescent="0.25"/>
    <row r="44" ht="19" customHeight="1" s="65" customFormat="1" x14ac:dyDescent="0.25"/>
    <row r="45" ht="19" customHeight="1" s="65" customFormat="1" x14ac:dyDescent="0.25"/>
    <row r="46" ht="19" customHeight="1" s="65" customFormat="1" x14ac:dyDescent="0.25"/>
    <row r="47" ht="19" customHeight="1" s="65" customFormat="1" x14ac:dyDescent="0.25"/>
  </sheetData>
  <mergeCells count="1">
    <mergeCell ref="A1:P1"/>
  </mergeCells>
  <pageMargins left="0.7" right="0.7" top="0.75" bottom="0.75" header="0.3" footer="0.3"/>
  <pageSetup paperSize="9" orientation="portrait" horizontalDpi="0" verticalDpi="0"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Views>
    <sheetView workbookViewId="0" zoomScale="100" zoomScaleNormal="100">
      <selection activeCell="L29" sqref="L29"/>
    </sheetView>
  </sheetViews>
  <sheetFormatPr defaultRowHeight="16" outlineLevelRow="0" outlineLevelCol="0" x14ac:dyDescent="0" defaultColWidth="11" customHeight="1"/>
  <cols>
    <col min="1" max="1" width="40.83203125" customWidth="1"/>
    <col min="2" max="2" width="40.5" customWidth="1"/>
    <col min="3" max="3" width="32.5" customWidth="1"/>
    <col min="4" max="4" width="49.1640625" customWidth="1"/>
    <col min="5" max="5" width="38" customWidth="1"/>
    <col min="6" max="6" width="30.33203125" customWidth="1"/>
    <col min="7" max="7" width="31.1640625" customWidth="1"/>
    <col min="8" max="8" width="37" customWidth="1"/>
    <col min="9" max="9" width="40" customWidth="1"/>
    <col min="10" max="10" width="41.83203125" customWidth="1"/>
    <col min="11" max="11" width="56.33203125" customWidth="1"/>
    <col min="12" max="12" width="41.33203125" customWidth="1"/>
  </cols>
  <sheetData>
    <row r="1" ht="64" customHeight="1" spans="1:16" x14ac:dyDescent="0.25">
      <c r="A1" s="254" t="s">
        <v>674</v>
      </c>
      <c r="B1" s="254"/>
      <c r="C1" s="254"/>
      <c r="D1" s="254"/>
      <c r="E1" s="254"/>
      <c r="F1" s="254"/>
      <c r="G1" s="254"/>
      <c r="H1" s="254"/>
      <c r="I1" s="254"/>
      <c r="J1" s="254"/>
      <c r="K1" s="254"/>
      <c r="L1" s="254"/>
      <c r="M1" s="254"/>
      <c r="N1" s="254"/>
      <c r="O1" s="254"/>
      <c r="P1" s="254"/>
    </row>
    <row r="2" ht="25" customHeight="1" spans="1:2" s="269" customFormat="1" x14ac:dyDescent="0.25">
      <c r="A2" s="270">
        <f>SUM(A4:L4)</f>
        <v>204</v>
      </c>
      <c r="B2" s="271" t="s">
        <v>675</v>
      </c>
    </row>
    <row r="3" ht="25" customHeight="1" spans="1:12" s="9" customFormat="1" x14ac:dyDescent="0.25">
      <c r="A3" s="255" t="s">
        <v>676</v>
      </c>
      <c r="B3" s="255" t="s">
        <v>677</v>
      </c>
      <c r="C3" s="255" t="s">
        <v>678</v>
      </c>
      <c r="D3" s="255" t="s">
        <v>679</v>
      </c>
      <c r="E3" s="255" t="s">
        <v>680</v>
      </c>
      <c r="F3" s="255" t="s">
        <v>681</v>
      </c>
      <c r="G3" s="255" t="s">
        <v>682</v>
      </c>
      <c r="H3" s="255" t="s">
        <v>683</v>
      </c>
      <c r="I3" s="255" t="s">
        <v>684</v>
      </c>
      <c r="J3" s="255" t="s">
        <v>685</v>
      </c>
      <c r="K3" s="255" t="s">
        <v>686</v>
      </c>
      <c r="L3" s="255" t="s">
        <v>687</v>
      </c>
    </row>
    <row r="4" ht="19" customHeight="1" spans="1:12" x14ac:dyDescent="0.25">
      <c r="A4" s="260">
        <f>COUNTA(A5:A51)</f>
        <v>9</v>
      </c>
      <c r="B4" s="260">
        <f t="shared" ref="B4:L4" si="0">COUNTA(B5:B51)</f>
        <v>14</v>
      </c>
      <c r="C4" s="260">
        <f t="shared" si="0"/>
        <v>7</v>
      </c>
      <c r="D4" s="260">
        <f t="shared" si="0"/>
        <v>15</v>
      </c>
      <c r="E4" s="260">
        <f t="shared" si="0"/>
        <v>30</v>
      </c>
      <c r="F4" s="260">
        <f t="shared" si="0"/>
        <v>12</v>
      </c>
      <c r="G4" s="260">
        <f t="shared" si="0"/>
        <v>22</v>
      </c>
      <c r="H4" s="260">
        <f t="shared" si="0"/>
        <v>13</v>
      </c>
      <c r="I4" s="260">
        <f t="shared" si="0"/>
        <v>27</v>
      </c>
      <c r="J4" s="260">
        <f t="shared" si="0"/>
        <v>10</v>
      </c>
      <c r="K4" s="260">
        <f t="shared" si="0"/>
        <v>10</v>
      </c>
      <c r="L4" s="260">
        <f t="shared" si="0"/>
        <v>35</v>
      </c>
    </row>
    <row r="5" ht="25" customHeight="1" spans="1:12" s="272" customFormat="1" x14ac:dyDescent="0.25">
      <c r="A5" s="272" t="s">
        <v>503</v>
      </c>
      <c r="B5" s="272" t="s">
        <v>493</v>
      </c>
      <c r="C5" s="272" t="s">
        <v>45</v>
      </c>
      <c r="D5" s="272" t="s">
        <v>688</v>
      </c>
      <c r="E5" s="272" t="s">
        <v>689</v>
      </c>
      <c r="F5" s="272" t="s">
        <v>21</v>
      </c>
      <c r="G5" s="272" t="s">
        <v>690</v>
      </c>
      <c r="H5" s="272" t="s">
        <v>463</v>
      </c>
      <c r="I5" s="272" t="s">
        <v>691</v>
      </c>
      <c r="J5" s="272" t="s">
        <v>692</v>
      </c>
      <c r="K5" s="272" t="s">
        <v>693</v>
      </c>
      <c r="L5" s="272" t="s">
        <v>505</v>
      </c>
    </row>
    <row r="6" ht="25" customHeight="1" spans="1:12" s="272" customFormat="1" x14ac:dyDescent="0.25">
      <c r="A6" s="272" t="s">
        <v>519</v>
      </c>
      <c r="B6" s="272" t="s">
        <v>521</v>
      </c>
      <c r="C6" s="272" t="s">
        <v>694</v>
      </c>
      <c r="D6" s="272" t="s">
        <v>13</v>
      </c>
      <c r="E6" s="272" t="s">
        <v>499</v>
      </c>
      <c r="F6" s="272" t="s">
        <v>695</v>
      </c>
      <c r="G6" s="272" t="s">
        <v>497</v>
      </c>
      <c r="H6" s="272" t="s">
        <v>696</v>
      </c>
      <c r="I6" s="272" t="s">
        <v>697</v>
      </c>
      <c r="J6" s="272" t="s">
        <v>698</v>
      </c>
      <c r="K6" s="272" t="s">
        <v>699</v>
      </c>
      <c r="L6" s="272" t="s">
        <v>700</v>
      </c>
    </row>
    <row r="7" ht="25" customHeight="1" spans="1:12" s="272" customFormat="1" x14ac:dyDescent="0.25">
      <c r="A7" s="272" t="s">
        <v>701</v>
      </c>
      <c r="B7" s="272" t="s">
        <v>702</v>
      </c>
      <c r="C7" s="272" t="s">
        <v>703</v>
      </c>
      <c r="D7" s="272" t="s">
        <v>704</v>
      </c>
      <c r="E7" s="272" t="s">
        <v>42</v>
      </c>
      <c r="F7" s="272" t="s">
        <v>705</v>
      </c>
      <c r="G7" s="272" t="s">
        <v>706</v>
      </c>
      <c r="H7" s="272" t="s">
        <v>707</v>
      </c>
      <c r="I7" s="272" t="s">
        <v>30</v>
      </c>
      <c r="J7" s="272" t="s">
        <v>708</v>
      </c>
      <c r="K7" s="272" t="s">
        <v>709</v>
      </c>
      <c r="L7" s="272" t="s">
        <v>500</v>
      </c>
    </row>
    <row r="8" ht="25" customHeight="1" spans="1:12" s="272" customFormat="1" x14ac:dyDescent="0.25">
      <c r="A8" s="272" t="s">
        <v>710</v>
      </c>
      <c r="B8" s="272" t="s">
        <v>632</v>
      </c>
      <c r="C8" s="272" t="s">
        <v>711</v>
      </c>
      <c r="D8" s="272" t="s">
        <v>567</v>
      </c>
      <c r="E8" s="272" t="s">
        <v>556</v>
      </c>
      <c r="F8" s="272" t="s">
        <v>528</v>
      </c>
      <c r="G8" s="272" t="s">
        <v>712</v>
      </c>
      <c r="H8" s="272" t="s">
        <v>552</v>
      </c>
      <c r="I8" s="272" t="s">
        <v>713</v>
      </c>
      <c r="J8" s="272" t="s">
        <v>714</v>
      </c>
      <c r="K8" s="272" t="s">
        <v>715</v>
      </c>
      <c r="L8" s="272" t="s">
        <v>35</v>
      </c>
    </row>
    <row r="9" ht="25" customHeight="1" spans="1:12" s="272" customFormat="1" x14ac:dyDescent="0.25">
      <c r="A9" s="272" t="s">
        <v>716</v>
      </c>
      <c r="B9" s="272" t="s">
        <v>649</v>
      </c>
      <c r="C9" s="272" t="s">
        <v>717</v>
      </c>
      <c r="D9" s="272" t="s">
        <v>88</v>
      </c>
      <c r="E9" s="272" t="s">
        <v>518</v>
      </c>
      <c r="F9" s="272" t="s">
        <v>550</v>
      </c>
      <c r="G9" s="272" t="s">
        <v>502</v>
      </c>
      <c r="H9" s="272" t="s">
        <v>718</v>
      </c>
      <c r="I9" s="272" t="s">
        <v>526</v>
      </c>
      <c r="J9" s="272" t="s">
        <v>719</v>
      </c>
      <c r="K9" s="272" t="s">
        <v>564</v>
      </c>
      <c r="L9" s="272" t="s">
        <v>565</v>
      </c>
    </row>
    <row r="10" ht="25" customHeight="1" spans="1:12" s="272" customFormat="1" x14ac:dyDescent="0.25">
      <c r="A10" s="272" t="s">
        <v>720</v>
      </c>
      <c r="B10" s="272" t="s">
        <v>166</v>
      </c>
      <c r="C10" s="272" t="s">
        <v>721</v>
      </c>
      <c r="D10" s="272" t="s">
        <v>599</v>
      </c>
      <c r="E10" s="272" t="s">
        <v>110</v>
      </c>
      <c r="F10" s="272" t="s">
        <v>144</v>
      </c>
      <c r="G10" s="272" t="s">
        <v>52</v>
      </c>
      <c r="H10" s="272" t="s">
        <v>722</v>
      </c>
      <c r="I10" s="272" t="s">
        <v>459</v>
      </c>
      <c r="J10" s="272" t="s">
        <v>148</v>
      </c>
      <c r="K10" s="272" t="s">
        <v>723</v>
      </c>
      <c r="L10" s="272" t="s">
        <v>506</v>
      </c>
    </row>
    <row r="11" ht="25" customHeight="1" spans="1:12" s="272" customFormat="1" x14ac:dyDescent="0.25">
      <c r="A11" s="272" t="s">
        <v>724</v>
      </c>
      <c r="B11" s="272" t="s">
        <v>645</v>
      </c>
      <c r="C11" s="272" t="s">
        <v>669</v>
      </c>
      <c r="D11" s="272" t="s">
        <v>725</v>
      </c>
      <c r="E11" s="272" t="s">
        <v>115</v>
      </c>
      <c r="F11" s="272" t="s">
        <v>592</v>
      </c>
      <c r="G11" s="272" t="s">
        <v>726</v>
      </c>
      <c r="H11" s="272" t="s">
        <v>612</v>
      </c>
      <c r="I11" s="272" t="s">
        <v>727</v>
      </c>
      <c r="J11" s="272" t="s">
        <v>728</v>
      </c>
      <c r="K11" s="272" t="s">
        <v>729</v>
      </c>
      <c r="L11" s="272" t="s">
        <v>512</v>
      </c>
    </row>
    <row r="12" ht="25" customHeight="1" spans="1:12" s="272" customFormat="1" x14ac:dyDescent="0.25">
      <c r="A12" s="272" t="s">
        <v>108</v>
      </c>
      <c r="B12" s="272" t="s">
        <v>654</v>
      </c>
      <c r="C12" s="272"/>
      <c r="D12" s="272" t="s">
        <v>730</v>
      </c>
      <c r="E12" s="272" t="s">
        <v>93</v>
      </c>
      <c r="F12" s="272" t="s">
        <v>731</v>
      </c>
      <c r="G12" s="272" t="s">
        <v>523</v>
      </c>
      <c r="H12" s="272" t="s">
        <v>732</v>
      </c>
      <c r="I12" s="272" t="s">
        <v>733</v>
      </c>
      <c r="J12" s="272" t="s">
        <v>734</v>
      </c>
      <c r="K12" s="272" t="s">
        <v>735</v>
      </c>
      <c r="L12" s="272" t="s">
        <v>736</v>
      </c>
    </row>
    <row r="13" ht="25" customHeight="1" spans="1:12" s="272" customFormat="1" x14ac:dyDescent="0.25">
      <c r="A13" s="272" t="s">
        <v>163</v>
      </c>
      <c r="B13" s="272" t="s">
        <v>737</v>
      </c>
      <c r="C13" s="272"/>
      <c r="D13" s="272" t="s">
        <v>129</v>
      </c>
      <c r="E13" s="272" t="s">
        <v>597</v>
      </c>
      <c r="F13" s="272" t="s">
        <v>738</v>
      </c>
      <c r="G13" s="272" t="s">
        <v>71</v>
      </c>
      <c r="H13" s="272" t="s">
        <v>739</v>
      </c>
      <c r="I13" s="272" t="s">
        <v>740</v>
      </c>
      <c r="J13" s="272" t="s">
        <v>741</v>
      </c>
      <c r="K13" s="272" t="s">
        <v>742</v>
      </c>
      <c r="L13" s="272" t="s">
        <v>743</v>
      </c>
    </row>
    <row r="14" ht="25" customHeight="1" spans="1:12" s="272" customFormat="1" x14ac:dyDescent="0.25">
      <c r="A14" s="272"/>
      <c r="B14" s="272" t="s">
        <v>744</v>
      </c>
      <c r="C14" s="272"/>
      <c r="D14" s="272" t="s">
        <v>159</v>
      </c>
      <c r="E14" s="272" t="s">
        <v>559</v>
      </c>
      <c r="F14" s="272" t="s">
        <v>745</v>
      </c>
      <c r="G14" s="272" t="s">
        <v>746</v>
      </c>
      <c r="H14" s="272" t="s">
        <v>642</v>
      </c>
      <c r="I14" s="272" t="s">
        <v>747</v>
      </c>
      <c r="J14" s="272" t="s">
        <v>748</v>
      </c>
      <c r="K14" s="272" t="s">
        <v>614</v>
      </c>
      <c r="L14" s="272" t="s">
        <v>749</v>
      </c>
    </row>
    <row r="15" ht="25" customHeight="1" spans="1:12" s="272" customFormat="1" x14ac:dyDescent="0.25">
      <c r="A15" s="272"/>
      <c r="B15" s="272" t="s">
        <v>182</v>
      </c>
      <c r="C15" s="272"/>
      <c r="D15" s="272" t="s">
        <v>646</v>
      </c>
      <c r="E15" s="272" t="s">
        <v>750</v>
      </c>
      <c r="F15" s="272" t="s">
        <v>183</v>
      </c>
      <c r="G15" s="272" t="s">
        <v>137</v>
      </c>
      <c r="H15" s="272" t="s">
        <v>603</v>
      </c>
      <c r="I15" s="272" t="s">
        <v>527</v>
      </c>
      <c r="J15" s="272"/>
      <c r="K15" s="272"/>
      <c r="L15" s="272" t="s">
        <v>751</v>
      </c>
    </row>
    <row r="16" ht="25" customHeight="1" spans="1:12" s="272" customFormat="1" x14ac:dyDescent="0.25">
      <c r="A16" s="272"/>
      <c r="B16" s="272" t="s">
        <v>752</v>
      </c>
      <c r="C16" s="272"/>
      <c r="D16" s="272" t="s">
        <v>651</v>
      </c>
      <c r="E16" s="272" t="s">
        <v>753</v>
      </c>
      <c r="F16" s="272" t="s">
        <v>190</v>
      </c>
      <c r="G16" s="272" t="s">
        <v>754</v>
      </c>
      <c r="H16" s="272" t="s">
        <v>175</v>
      </c>
      <c r="I16" s="272" t="s">
        <v>755</v>
      </c>
      <c r="J16" s="272"/>
      <c r="K16" s="272"/>
      <c r="L16" s="272" t="s">
        <v>756</v>
      </c>
    </row>
    <row r="17" ht="25" customHeight="1" spans="1:12" s="272" customFormat="1" x14ac:dyDescent="0.25">
      <c r="A17" s="272"/>
      <c r="B17" s="272" t="s">
        <v>162</v>
      </c>
      <c r="C17" s="272"/>
      <c r="D17" s="272" t="s">
        <v>757</v>
      </c>
      <c r="E17" s="272" t="s">
        <v>758</v>
      </c>
      <c r="F17" s="272"/>
      <c r="G17" s="272" t="s">
        <v>195</v>
      </c>
      <c r="H17" s="272" t="s">
        <v>759</v>
      </c>
      <c r="I17" s="272" t="s">
        <v>760</v>
      </c>
      <c r="J17" s="272"/>
      <c r="K17" s="272"/>
      <c r="L17" s="272" t="s">
        <v>761</v>
      </c>
    </row>
    <row r="18" ht="25" customHeight="1" spans="1:12" s="272" customFormat="1" x14ac:dyDescent="0.25">
      <c r="A18" s="272"/>
      <c r="B18" s="272" t="s">
        <v>762</v>
      </c>
      <c r="C18" s="272"/>
      <c r="D18" s="272" t="s">
        <v>763</v>
      </c>
      <c r="E18" s="272" t="s">
        <v>764</v>
      </c>
      <c r="F18" s="272"/>
      <c r="G18" s="272" t="s">
        <v>765</v>
      </c>
      <c r="H18" s="272"/>
      <c r="I18" s="272" t="s">
        <v>143</v>
      </c>
      <c r="J18" s="272"/>
      <c r="K18" s="272"/>
      <c r="L18" s="272" t="s">
        <v>766</v>
      </c>
    </row>
    <row r="19" ht="25" customHeight="1" spans="1:12" s="272" customFormat="1" x14ac:dyDescent="0.25">
      <c r="A19" s="272"/>
      <c r="B19" s="272"/>
      <c r="C19" s="272"/>
      <c r="D19" s="272" t="s">
        <v>767</v>
      </c>
      <c r="E19" s="272" t="s">
        <v>580</v>
      </c>
      <c r="F19" s="272"/>
      <c r="G19" s="272" t="s">
        <v>768</v>
      </c>
      <c r="H19" s="272"/>
      <c r="I19" s="272" t="s">
        <v>150</v>
      </c>
      <c r="J19" s="272"/>
      <c r="K19" s="272"/>
      <c r="L19" s="272" t="s">
        <v>769</v>
      </c>
    </row>
    <row r="20" ht="25" customHeight="1" spans="1:12" s="272" customFormat="1" x14ac:dyDescent="0.25">
      <c r="A20" s="272"/>
      <c r="B20" s="272"/>
      <c r="C20" s="272"/>
      <c r="D20" s="272"/>
      <c r="E20" s="272" t="s">
        <v>640</v>
      </c>
      <c r="F20" s="272"/>
      <c r="G20" s="272" t="s">
        <v>153</v>
      </c>
      <c r="H20" s="272"/>
      <c r="I20" s="272" t="s">
        <v>770</v>
      </c>
      <c r="J20" s="272"/>
      <c r="K20" s="272"/>
      <c r="L20" s="272" t="s">
        <v>495</v>
      </c>
    </row>
    <row r="21" ht="25" customHeight="1" spans="1:12" s="272" customFormat="1" x14ac:dyDescent="0.25">
      <c r="A21" s="272"/>
      <c r="B21" s="272"/>
      <c r="C21" s="272"/>
      <c r="D21" s="272"/>
      <c r="E21" s="272" t="s">
        <v>771</v>
      </c>
      <c r="F21" s="272"/>
      <c r="G21" s="272" t="s">
        <v>772</v>
      </c>
      <c r="H21" s="272"/>
      <c r="I21" s="272" t="s">
        <v>773</v>
      </c>
      <c r="J21" s="272"/>
      <c r="K21" s="272"/>
      <c r="L21" s="272" t="s">
        <v>774</v>
      </c>
    </row>
    <row r="22" ht="25" customHeight="1" spans="1:12" s="272" customFormat="1" x14ac:dyDescent="0.25">
      <c r="A22" s="272"/>
      <c r="B22" s="272"/>
      <c r="C22" s="272"/>
      <c r="D22" s="272"/>
      <c r="E22" s="272" t="s">
        <v>169</v>
      </c>
      <c r="F22" s="272"/>
      <c r="G22" s="272" t="s">
        <v>775</v>
      </c>
      <c r="H22" s="272"/>
      <c r="I22" s="272" t="s">
        <v>601</v>
      </c>
      <c r="J22" s="272"/>
      <c r="K22" s="272"/>
      <c r="L22" s="272" t="s">
        <v>776</v>
      </c>
    </row>
    <row r="23" ht="25" customHeight="1" spans="1:12" s="272" customFormat="1" x14ac:dyDescent="0.25">
      <c r="A23" s="272"/>
      <c r="B23" s="272"/>
      <c r="C23" s="272"/>
      <c r="D23" s="272"/>
      <c r="E23" s="272" t="s">
        <v>171</v>
      </c>
      <c r="F23" s="272"/>
      <c r="G23" s="272" t="s">
        <v>662</v>
      </c>
      <c r="H23" s="272"/>
      <c r="I23" s="272" t="s">
        <v>777</v>
      </c>
      <c r="J23" s="272"/>
      <c r="K23" s="272"/>
      <c r="L23" s="272" t="s">
        <v>625</v>
      </c>
    </row>
    <row r="24" ht="25" customHeight="1" spans="1:12" s="272" customFormat="1" x14ac:dyDescent="0.25">
      <c r="A24" s="272"/>
      <c r="B24" s="272"/>
      <c r="C24" s="272"/>
      <c r="D24" s="272"/>
      <c r="E24" s="272" t="s">
        <v>558</v>
      </c>
      <c r="F24" s="272"/>
      <c r="G24" s="272" t="s">
        <v>778</v>
      </c>
      <c r="H24" s="272"/>
      <c r="I24" s="272" t="s">
        <v>657</v>
      </c>
      <c r="J24" s="272"/>
      <c r="K24" s="272"/>
      <c r="L24" s="272" t="s">
        <v>161</v>
      </c>
    </row>
    <row r="25" ht="25" customHeight="1" spans="1:12" s="272" customFormat="1" x14ac:dyDescent="0.25">
      <c r="A25" s="272"/>
      <c r="B25" s="272"/>
      <c r="C25" s="272"/>
      <c r="D25" s="272"/>
      <c r="E25" s="272" t="s">
        <v>779</v>
      </c>
      <c r="F25" s="272"/>
      <c r="G25" s="272" t="s">
        <v>780</v>
      </c>
      <c r="H25" s="272"/>
      <c r="I25" s="272" t="s">
        <v>781</v>
      </c>
      <c r="J25" s="272"/>
      <c r="K25" s="272"/>
      <c r="L25" s="272" t="s">
        <v>141</v>
      </c>
    </row>
    <row r="26" ht="25" customHeight="1" spans="1:12" s="272" customFormat="1" x14ac:dyDescent="0.25">
      <c r="A26" s="272"/>
      <c r="B26" s="272"/>
      <c r="C26" s="272"/>
      <c r="D26" s="272"/>
      <c r="E26" s="272" t="s">
        <v>782</v>
      </c>
      <c r="F26" s="272"/>
      <c r="G26" s="272" t="s">
        <v>652</v>
      </c>
      <c r="H26" s="272"/>
      <c r="I26" s="272" t="s">
        <v>783</v>
      </c>
      <c r="J26" s="272"/>
      <c r="K26" s="272"/>
      <c r="L26" s="272" t="s">
        <v>547</v>
      </c>
    </row>
    <row r="27" ht="25" customHeight="1" spans="1:12" s="272" customFormat="1" x14ac:dyDescent="0.25">
      <c r="A27" s="272"/>
      <c r="B27" s="272"/>
      <c r="C27" s="272"/>
      <c r="D27" s="272"/>
      <c r="E27" s="272" t="s">
        <v>784</v>
      </c>
      <c r="F27" s="272"/>
      <c r="G27" s="272"/>
      <c r="H27" s="272"/>
      <c r="I27" s="272" t="s">
        <v>785</v>
      </c>
      <c r="J27" s="272"/>
      <c r="K27" s="272"/>
      <c r="L27" s="272" t="s">
        <v>786</v>
      </c>
    </row>
    <row r="28" ht="25" customHeight="1" spans="1:12" s="272" customFormat="1" x14ac:dyDescent="0.25">
      <c r="A28" s="272"/>
      <c r="B28" s="272"/>
      <c r="C28" s="272"/>
      <c r="D28" s="272"/>
      <c r="E28" s="272" t="s">
        <v>156</v>
      </c>
      <c r="F28" s="272"/>
      <c r="G28" s="272"/>
      <c r="H28" s="272"/>
      <c r="I28" s="272" t="s">
        <v>189</v>
      </c>
      <c r="J28" s="272"/>
      <c r="K28" s="272"/>
      <c r="L28" s="272" t="s">
        <v>787</v>
      </c>
    </row>
    <row r="29" ht="25" customHeight="1" spans="1:12" s="272" customFormat="1" x14ac:dyDescent="0.25">
      <c r="A29" s="272"/>
      <c r="B29" s="272"/>
      <c r="C29" s="272"/>
      <c r="D29" s="272"/>
      <c r="E29" s="272" t="s">
        <v>569</v>
      </c>
      <c r="F29" s="272"/>
      <c r="G29" s="272"/>
      <c r="H29" s="272"/>
      <c r="I29" s="272" t="s">
        <v>788</v>
      </c>
      <c r="J29" s="272"/>
      <c r="K29" s="272"/>
      <c r="L29" s="272" t="s">
        <v>151</v>
      </c>
    </row>
    <row r="30" ht="25" customHeight="1" spans="1:12" s="272" customFormat="1" x14ac:dyDescent="0.25">
      <c r="A30" s="272"/>
      <c r="B30" s="272"/>
      <c r="C30" s="272"/>
      <c r="D30" s="272"/>
      <c r="E30" s="272" t="s">
        <v>789</v>
      </c>
      <c r="F30" s="272"/>
      <c r="G30" s="272"/>
      <c r="H30" s="272"/>
      <c r="I30" s="272" t="s">
        <v>602</v>
      </c>
      <c r="J30" s="272"/>
      <c r="K30" s="272"/>
      <c r="L30" s="272" t="s">
        <v>790</v>
      </c>
    </row>
    <row r="31" ht="25" customHeight="1" spans="1:12" s="272" customFormat="1" x14ac:dyDescent="0.25">
      <c r="A31" s="272"/>
      <c r="B31" s="272"/>
      <c r="C31" s="272"/>
      <c r="D31" s="272"/>
      <c r="E31" s="272" t="s">
        <v>791</v>
      </c>
      <c r="F31" s="272"/>
      <c r="G31" s="272"/>
      <c r="H31" s="272"/>
      <c r="I31" s="272" t="s">
        <v>792</v>
      </c>
      <c r="J31" s="272"/>
      <c r="K31" s="272"/>
      <c r="L31" s="272" t="s">
        <v>551</v>
      </c>
    </row>
    <row r="32" ht="25" customHeight="1" spans="1:12" s="272" customFormat="1" x14ac:dyDescent="0.25">
      <c r="A32" s="272"/>
      <c r="B32" s="272"/>
      <c r="C32" s="272"/>
      <c r="D32" s="272"/>
      <c r="E32" s="272" t="s">
        <v>193</v>
      </c>
      <c r="F32" s="272"/>
      <c r="G32" s="272"/>
      <c r="H32" s="272"/>
      <c r="I32" s="272"/>
      <c r="J32" s="272"/>
      <c r="K32" s="272"/>
      <c r="L32" s="272" t="s">
        <v>619</v>
      </c>
    </row>
    <row r="33" ht="25" customHeight="1" spans="1:12" s="272" customFormat="1" x14ac:dyDescent="0.25">
      <c r="A33" s="272"/>
      <c r="B33" s="272"/>
      <c r="C33" s="272"/>
      <c r="D33" s="272"/>
      <c r="E33" s="272" t="s">
        <v>671</v>
      </c>
      <c r="F33" s="272"/>
      <c r="G33" s="272"/>
      <c r="H33" s="272"/>
      <c r="I33" s="272"/>
      <c r="J33" s="272"/>
      <c r="K33" s="272"/>
      <c r="L33" s="272" t="s">
        <v>793</v>
      </c>
    </row>
    <row r="34" ht="25" customHeight="1" spans="1:12" s="272" customFormat="1" x14ac:dyDescent="0.25">
      <c r="A34" s="272"/>
      <c r="B34" s="272"/>
      <c r="C34" s="272"/>
      <c r="D34" s="272"/>
      <c r="E34" s="272" t="s">
        <v>794</v>
      </c>
      <c r="F34" s="272"/>
      <c r="G34" s="272"/>
      <c r="H34" s="272"/>
      <c r="I34" s="272"/>
      <c r="J34" s="272"/>
      <c r="K34" s="272"/>
      <c r="L34" s="272" t="s">
        <v>795</v>
      </c>
    </row>
    <row r="35" ht="25" customHeight="1" spans="1:12" s="272" customFormat="1" x14ac:dyDescent="0.25">
      <c r="A35" s="272"/>
      <c r="B35" s="272"/>
      <c r="C35" s="272"/>
      <c r="D35" s="272"/>
      <c r="E35" s="272"/>
      <c r="F35" s="272"/>
      <c r="G35" s="272"/>
      <c r="H35" s="272"/>
      <c r="I35" s="272"/>
      <c r="J35" s="272"/>
      <c r="K35" s="272"/>
      <c r="L35" s="272" t="s">
        <v>524</v>
      </c>
    </row>
    <row r="36" ht="25" customHeight="1" spans="1:12" s="272" customFormat="1" x14ac:dyDescent="0.25">
      <c r="A36" s="272"/>
      <c r="B36" s="272"/>
      <c r="C36" s="272"/>
      <c r="D36" s="272"/>
      <c r="E36" s="272"/>
      <c r="F36" s="272"/>
      <c r="G36" s="272"/>
      <c r="H36" s="272"/>
      <c r="I36" s="272"/>
      <c r="J36" s="272"/>
      <c r="K36" s="272"/>
      <c r="L36" s="272" t="s">
        <v>796</v>
      </c>
    </row>
    <row r="37" ht="25" customHeight="1" spans="1:12" s="272" customFormat="1" x14ac:dyDescent="0.25">
      <c r="A37" s="272"/>
      <c r="B37" s="272"/>
      <c r="C37" s="272"/>
      <c r="D37" s="272"/>
      <c r="E37" s="272"/>
      <c r="F37" s="272"/>
      <c r="G37" s="272"/>
      <c r="H37" s="272"/>
      <c r="I37" s="272"/>
      <c r="J37" s="272"/>
      <c r="K37" s="272"/>
      <c r="L37" s="272" t="s">
        <v>181</v>
      </c>
    </row>
    <row r="38" ht="25" customHeight="1" spans="1:12" s="272" customFormat="1" x14ac:dyDescent="0.25">
      <c r="A38" s="272"/>
      <c r="B38" s="272"/>
      <c r="C38" s="272"/>
      <c r="D38" s="272"/>
      <c r="E38" s="272"/>
      <c r="F38" s="272"/>
      <c r="G38" s="272"/>
      <c r="H38" s="272"/>
      <c r="I38" s="272"/>
      <c r="J38" s="272"/>
      <c r="K38" s="272"/>
      <c r="L38" s="272" t="s">
        <v>185</v>
      </c>
    </row>
    <row r="39" ht="25" customHeight="1" spans="1:12" s="272" customFormat="1" x14ac:dyDescent="0.25">
      <c r="A39" s="272"/>
      <c r="B39" s="272"/>
      <c r="C39" s="272"/>
      <c r="D39" s="272"/>
      <c r="E39" s="272"/>
      <c r="F39" s="272"/>
      <c r="G39" s="272"/>
      <c r="H39" s="272"/>
      <c r="I39" s="272"/>
      <c r="J39" s="272"/>
      <c r="K39" s="272"/>
      <c r="L39" s="272" t="s">
        <v>797</v>
      </c>
    </row>
    <row r="40" ht="25" customHeight="1" s="272" customFormat="1" x14ac:dyDescent="0.25"/>
    <row r="41" ht="25" customHeight="1" s="272" customFormat="1" x14ac:dyDescent="0.25"/>
    <row r="42" ht="25" customHeight="1" s="272" customFormat="1" x14ac:dyDescent="0.25"/>
    <row r="43" ht="25" customHeight="1" s="272" customFormat="1" x14ac:dyDescent="0.25"/>
  </sheetData>
  <mergeCells count="1">
    <mergeCell ref="A1:P1"/>
  </mergeCells>
  <pageMargins left="0.7" right="0.7" top="0.75" bottom="0.75" header="0.3" footer="0.3"/>
  <pageSetup paperSize="9" orientation="portrait" horizontalDpi="0" verticalDpi="0" scale="100" fitToWidth="1" fitToHeight="1" firstPageNumber="1" useFirstPageNumber="1" copies="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zoomScale="100" zoomScaleNormal="100">
      <selection activeCell="A27" sqref="A27"/>
    </sheetView>
  </sheetViews>
  <sheetFormatPr defaultRowHeight="16" outlineLevelRow="0" outlineLevelCol="0" x14ac:dyDescent="0" defaultColWidth="11" customHeight="1"/>
  <cols>
    <col min="1" max="1" width="39.83203125" customWidth="1"/>
    <col min="2" max="2" width="40.6640625" customWidth="1"/>
    <col min="3" max="3" width="26.6640625" customWidth="1"/>
    <col min="4" max="4" width="23.33203125" customWidth="1"/>
    <col min="5" max="5" width="33.33203125" customWidth="1"/>
    <col min="6" max="6" width="84.5" customWidth="1"/>
    <col min="7" max="7" width="12.1640625" customWidth="1"/>
  </cols>
  <sheetData>
    <row r="1" ht="86" customHeight="1" spans="1:6" x14ac:dyDescent="0.25">
      <c r="A1" s="233"/>
      <c r="B1" s="234" t="s">
        <v>441</v>
      </c>
      <c r="C1" s="234"/>
      <c r="D1" s="234"/>
      <c r="E1" s="234"/>
      <c r="F1" s="234"/>
    </row>
    <row r="2" ht="21" customHeight="1" spans="1:7" x14ac:dyDescent="0.25">
      <c r="A2" s="60">
        <f>COUNTA(A5:A18)</f>
        <v>2</v>
      </c>
      <c r="B2" s="60">
        <f t="shared" ref="B2:F2" si="0">COUNTA(B5:B18)</f>
        <v>2</v>
      </c>
      <c r="C2" s="60">
        <f t="shared" si="0"/>
        <v>0</v>
      </c>
      <c r="D2" s="60">
        <f t="shared" si="0"/>
        <v>0</v>
      </c>
      <c r="E2" s="60">
        <f t="shared" si="0"/>
        <v>0</v>
      </c>
      <c r="F2" s="60">
        <f t="shared" si="0"/>
        <v>0</v>
      </c>
      <c r="G2" s="235" t="s">
        <v>442</v>
      </c>
    </row>
    <row r="3" ht="22" customHeight="1" spans="1:7" x14ac:dyDescent="0.25">
      <c r="A3" s="88" t="s">
        <v>199</v>
      </c>
      <c r="B3" s="89" t="s">
        <v>202</v>
      </c>
      <c r="C3" s="89" t="s">
        <v>205</v>
      </c>
      <c r="D3" s="89" t="s">
        <v>206</v>
      </c>
      <c r="E3" s="89" t="s">
        <v>207</v>
      </c>
      <c r="F3" s="60" t="s">
        <v>235</v>
      </c>
      <c r="G3" s="236"/>
    </row>
    <row r="4" ht="23" customHeight="1" spans="1:6" x14ac:dyDescent="0.25">
      <c r="A4" s="164"/>
      <c r="B4" s="171" t="s">
        <v>443</v>
      </c>
      <c r="C4" s="164"/>
      <c r="D4" s="171"/>
      <c r="E4" s="164"/>
      <c r="F4" s="237"/>
    </row>
    <row r="5" ht="24" customHeight="1" spans="1:6" x14ac:dyDescent="0.25">
      <c r="A5" s="164">
        <v>45092</v>
      </c>
      <c r="B5" s="171" t="s">
        <v>444</v>
      </c>
      <c r="C5" s="171"/>
      <c r="D5" s="171"/>
      <c r="E5" s="171"/>
      <c r="F5" s="170"/>
    </row>
    <row r="6" ht="24" customHeight="1" spans="1:6" x14ac:dyDescent="0.25">
      <c r="A6" s="164">
        <v>45096</v>
      </c>
      <c r="B6" s="171" t="s">
        <v>445</v>
      </c>
      <c r="C6" s="171"/>
      <c r="D6" s="171"/>
      <c r="E6" s="171"/>
      <c r="F6" s="170"/>
    </row>
    <row r="7" ht="24" customHeight="1" spans="1:6" x14ac:dyDescent="0.25">
      <c r="A7" s="164"/>
      <c r="B7" s="171"/>
      <c r="C7" s="171"/>
      <c r="D7" s="171"/>
      <c r="E7" s="171"/>
      <c r="F7" s="170"/>
    </row>
    <row r="8" ht="24" customHeight="1" spans="1:6" x14ac:dyDescent="0.25">
      <c r="A8" s="164"/>
      <c r="B8" s="171"/>
      <c r="C8" s="171"/>
      <c r="D8" s="171"/>
      <c r="E8" s="171"/>
      <c r="F8" s="170"/>
    </row>
    <row r="9" ht="24" customHeight="1" spans="1:6" x14ac:dyDescent="0.25">
      <c r="A9" s="164"/>
      <c r="B9" s="171"/>
      <c r="C9" s="171"/>
      <c r="D9" s="171"/>
      <c r="E9" s="171"/>
      <c r="F9" s="170"/>
    </row>
    <row r="10" ht="24" customHeight="1" spans="1:6" x14ac:dyDescent="0.25">
      <c r="A10" s="164"/>
      <c r="B10" s="171"/>
      <c r="C10" s="171"/>
      <c r="D10" s="171"/>
      <c r="E10" s="171"/>
      <c r="F10" s="170"/>
    </row>
    <row r="11" ht="24" customHeight="1" spans="1:6" x14ac:dyDescent="0.25">
      <c r="A11" s="164"/>
      <c r="B11" s="171"/>
      <c r="C11" s="171"/>
      <c r="D11" s="171"/>
      <c r="E11" s="171"/>
      <c r="F11" s="170"/>
    </row>
    <row r="12" ht="24" customHeight="1" spans="1:6" x14ac:dyDescent="0.25">
      <c r="A12" s="164"/>
      <c r="B12" s="171"/>
      <c r="C12" s="171"/>
      <c r="D12" s="171"/>
      <c r="E12" s="171"/>
      <c r="F12" s="170"/>
    </row>
    <row r="13" ht="24" customHeight="1" spans="1:6" x14ac:dyDescent="0.25">
      <c r="A13" s="164"/>
      <c r="B13" s="171"/>
      <c r="C13" s="171"/>
      <c r="D13" s="171"/>
      <c r="E13" s="171"/>
      <c r="F13" s="170"/>
    </row>
    <row r="14" ht="24" customHeight="1" spans="1:6" x14ac:dyDescent="0.25">
      <c r="A14" s="164"/>
      <c r="B14" s="171"/>
      <c r="C14" s="171"/>
      <c r="D14" s="171"/>
      <c r="E14" s="171"/>
      <c r="F14" s="170"/>
    </row>
    <row r="15" ht="24" customHeight="1" spans="1:6" x14ac:dyDescent="0.25">
      <c r="A15" s="164"/>
      <c r="B15" s="171"/>
      <c r="C15" s="171"/>
      <c r="D15" s="171"/>
      <c r="E15" s="171"/>
      <c r="F15" s="170"/>
    </row>
    <row r="16" ht="24" customHeight="1" spans="1:6" x14ac:dyDescent="0.25">
      <c r="A16" s="164"/>
      <c r="B16" s="171"/>
      <c r="C16" s="171"/>
      <c r="D16" s="171"/>
      <c r="E16" s="171"/>
      <c r="F16" s="170"/>
    </row>
    <row r="17" ht="24" customHeight="1" spans="1:6" x14ac:dyDescent="0.25">
      <c r="A17" s="164"/>
      <c r="B17" s="171"/>
      <c r="C17" s="171"/>
      <c r="D17" s="171"/>
      <c r="E17" s="171"/>
      <c r="F17" s="170"/>
    </row>
    <row r="18" ht="24" customHeight="1" spans="1:6" x14ac:dyDescent="0.25">
      <c r="A18" s="164"/>
      <c r="B18" s="171"/>
      <c r="C18" s="171"/>
      <c r="D18" s="171"/>
      <c r="E18" s="171"/>
      <c r="F18" s="170"/>
    </row>
    <row r="19" ht="24" customHeight="1" spans="1:6" x14ac:dyDescent="0.25">
      <c r="A19" s="164"/>
      <c r="B19" s="171"/>
      <c r="C19" s="171"/>
      <c r="D19" s="171"/>
      <c r="E19" s="171"/>
      <c r="F19" s="170"/>
    </row>
    <row r="20" ht="41" customHeight="1" spans="1:5" x14ac:dyDescent="0.25">
      <c r="A20" s="238"/>
      <c r="B20" s="239"/>
      <c r="C20" s="239"/>
      <c r="D20" s="239"/>
      <c r="E20" s="239"/>
    </row>
    <row r="21" ht="76" customHeight="1" spans="1:6" x14ac:dyDescent="0.25">
      <c r="A21" s="233"/>
      <c r="B21" s="234"/>
      <c r="C21" s="234"/>
      <c r="D21" s="234"/>
      <c r="E21" s="234"/>
      <c r="F21" s="234"/>
    </row>
    <row r="22" ht="21" customHeight="1" spans="1:6" x14ac:dyDescent="0.25">
      <c r="A22" s="60">
        <f>COUNTA(A25:A95)</f>
        <v>6</v>
      </c>
      <c r="B22" s="60">
        <f t="shared" ref="B22:E22" si="1">COUNTA(B25:B95)</f>
        <v>6</v>
      </c>
      <c r="C22" s="60"/>
      <c r="D22" s="60"/>
      <c r="E22" s="60"/>
      <c r="F22" s="60">
        <f>COUNTA(F29:F95)</f>
        <v>0</v>
      </c>
    </row>
    <row r="23" ht="22" customHeight="1" spans="1:6" x14ac:dyDescent="0.25">
      <c r="A23" s="88" t="s">
        <v>446</v>
      </c>
      <c r="B23" s="89" t="s">
        <v>202</v>
      </c>
      <c r="C23" s="89"/>
      <c r="D23" s="89"/>
      <c r="E23" s="89"/>
      <c r="F23" s="240" t="s">
        <v>447</v>
      </c>
    </row>
    <row r="24" ht="21" customHeight="1" spans="1:6" x14ac:dyDescent="0.25">
      <c r="A24" s="241"/>
      <c r="B24" s="242"/>
      <c r="C24" s="242"/>
      <c r="D24" s="242"/>
      <c r="E24" s="242"/>
      <c r="F24" s="243"/>
    </row>
    <row r="25" ht="24" customHeight="1" spans="1:6" x14ac:dyDescent="0.25">
      <c r="A25" s="244" t="s">
        <v>354</v>
      </c>
      <c r="B25" s="164" t="s">
        <v>448</v>
      </c>
      <c r="C25" s="244"/>
      <c r="D25" s="244"/>
      <c r="E25" s="244"/>
      <c r="F25" s="164" t="s">
        <v>449</v>
      </c>
    </row>
    <row r="26" ht="24" customHeight="1" spans="1:6" x14ac:dyDescent="0.25">
      <c r="A26" s="244" t="s">
        <v>106</v>
      </c>
      <c r="B26" s="164" t="s">
        <v>450</v>
      </c>
      <c r="C26" s="244"/>
      <c r="D26" s="244"/>
      <c r="E26" s="244"/>
      <c r="F26" s="164"/>
    </row>
    <row r="27" ht="24" customHeight="1" spans="1:6" x14ac:dyDescent="0.25">
      <c r="A27" s="244" t="s">
        <v>106</v>
      </c>
      <c r="B27" s="164" t="s">
        <v>451</v>
      </c>
      <c r="C27" s="244"/>
      <c r="D27" s="244"/>
      <c r="E27" s="244"/>
      <c r="F27" s="164"/>
    </row>
    <row r="28" ht="24" customHeight="1" spans="1:6" x14ac:dyDescent="0.25">
      <c r="A28" s="244" t="s">
        <v>116</v>
      </c>
      <c r="B28" s="171" t="s">
        <v>452</v>
      </c>
      <c r="C28" s="224"/>
      <c r="D28" s="224"/>
      <c r="E28" s="224"/>
      <c r="F28" s="164"/>
    </row>
    <row r="29" ht="24" customHeight="1" spans="1:6" x14ac:dyDescent="0.25">
      <c r="A29" s="244" t="s">
        <v>116</v>
      </c>
      <c r="B29" s="171" t="s">
        <v>453</v>
      </c>
      <c r="C29" s="224"/>
      <c r="D29" s="224"/>
      <c r="E29" s="224"/>
      <c r="F29" s="164"/>
    </row>
    <row r="30" ht="24" customHeight="1" spans="1:6" x14ac:dyDescent="0.25">
      <c r="A30" s="244" t="s">
        <v>116</v>
      </c>
      <c r="B30" s="171" t="s">
        <v>454</v>
      </c>
      <c r="C30" s="224"/>
      <c r="D30" s="224"/>
      <c r="E30" s="224"/>
      <c r="F30" s="164"/>
    </row>
    <row r="31" ht="24" customHeight="1" spans="1:6" x14ac:dyDescent="0.25">
      <c r="A31" s="164"/>
      <c r="B31" s="171"/>
      <c r="C31" s="224"/>
      <c r="D31" s="224"/>
      <c r="E31" s="224"/>
      <c r="F31" s="164"/>
    </row>
    <row r="32" ht="24" customHeight="1" spans="1:6" x14ac:dyDescent="0.25">
      <c r="A32" s="164"/>
      <c r="B32" s="171"/>
      <c r="C32" s="171"/>
      <c r="D32" s="171"/>
      <c r="E32" s="171"/>
      <c r="F32" s="164"/>
    </row>
    <row r="33" ht="24" customHeight="1" spans="1:6" x14ac:dyDescent="0.25">
      <c r="A33" s="164"/>
      <c r="B33" s="171"/>
      <c r="C33" s="171"/>
      <c r="D33" s="171"/>
      <c r="E33" s="171"/>
      <c r="F33" s="164"/>
    </row>
    <row r="34" ht="24" customHeight="1" spans="1:6" x14ac:dyDescent="0.25">
      <c r="A34" s="164"/>
      <c r="B34" s="171"/>
      <c r="C34" s="171"/>
      <c r="D34" s="171"/>
      <c r="E34" s="171"/>
      <c r="F34" s="164"/>
    </row>
    <row r="35" ht="24" customHeight="1" spans="1:6" x14ac:dyDescent="0.25">
      <c r="A35" s="164"/>
      <c r="B35" s="171"/>
      <c r="C35" s="171"/>
      <c r="D35" s="171"/>
      <c r="E35" s="171"/>
      <c r="F35" s="164"/>
    </row>
    <row r="36" ht="24" customHeight="1" spans="1:6" x14ac:dyDescent="0.25">
      <c r="A36" s="164"/>
      <c r="B36" s="171"/>
      <c r="C36" s="171"/>
      <c r="D36" s="171"/>
      <c r="E36" s="171"/>
      <c r="F36" s="164"/>
    </row>
    <row r="37" ht="24" customHeight="1" spans="1:6" x14ac:dyDescent="0.25">
      <c r="A37" s="164"/>
      <c r="B37" s="171"/>
      <c r="C37" s="171"/>
      <c r="D37" s="171"/>
      <c r="E37" s="171"/>
      <c r="F37" s="164"/>
    </row>
    <row r="38" ht="24" customHeight="1" spans="1:6" x14ac:dyDescent="0.25">
      <c r="A38" s="164"/>
      <c r="B38" s="171"/>
      <c r="C38" s="171"/>
      <c r="D38" s="171"/>
      <c r="E38" s="171"/>
      <c r="F38" s="170"/>
    </row>
    <row r="39" ht="24" customHeight="1" spans="1:6" x14ac:dyDescent="0.25">
      <c r="A39" s="164"/>
      <c r="B39" s="171"/>
      <c r="C39" s="171"/>
      <c r="D39" s="171"/>
      <c r="E39" s="171"/>
      <c r="F39" s="170"/>
    </row>
    <row r="40" ht="24" customHeight="1" spans="1:6" x14ac:dyDescent="0.25">
      <c r="A40" s="164"/>
      <c r="B40" s="171"/>
      <c r="C40" s="171"/>
      <c r="D40" s="171"/>
      <c r="E40" s="171"/>
      <c r="F40" s="170"/>
    </row>
  </sheetData>
  <mergeCells count="2">
    <mergeCell ref="B1:F1"/>
    <mergeCell ref="B21:F21"/>
  </mergeCells>
  <pageMargins left="0.7" right="0.7" top="0.75" bottom="0.75" header="0.3" footer="0.3"/>
  <pageSetup paperSize="9" orientation="portrait" horizontalDpi="0" verticalDpi="0" scale="100" fitToWidth="1" fitToHeight="1" firstPageNumber="1" useFirstPageNumber="1" copies="1"/>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
  <sheetViews>
    <sheetView workbookViewId="0" zoomScale="80" zoomScaleNormal="80">
      <selection activeCell="E66" sqref="E66"/>
    </sheetView>
  </sheetViews>
  <sheetFormatPr defaultRowHeight="16" outlineLevelRow="0" outlineLevelCol="0" x14ac:dyDescent="0" defaultColWidth="11" customHeight="1"/>
  <cols>
    <col min="1" max="1" width="18.6640625" style="13" customWidth="1"/>
    <col min="2" max="2" width="41.1640625" customWidth="1"/>
    <col min="3" max="3" width="63.1640625" customWidth="1"/>
    <col min="4" max="4" width="33.33203125" style="85" customWidth="1"/>
    <col min="5" max="5" width="40.83203125" style="85" customWidth="1"/>
    <col min="6" max="6" width="43.1640625" customWidth="1"/>
    <col min="7" max="7" width="55.33203125" customWidth="1"/>
    <col min="8" max="8" width="31.6640625" customWidth="1"/>
  </cols>
  <sheetData>
    <row r="1" ht="117" customHeight="1" spans="1:9" x14ac:dyDescent="0.25">
      <c r="A1" s="58" t="s">
        <v>224</v>
      </c>
      <c r="B1" s="58"/>
      <c r="C1" s="58"/>
      <c r="D1" s="58"/>
      <c r="E1" s="58"/>
      <c r="F1" s="58"/>
      <c r="G1" s="58"/>
      <c r="H1" s="86"/>
      <c r="I1" s="86"/>
    </row>
    <row r="2" ht="21" customHeight="1" spans="1:8" x14ac:dyDescent="0.25">
      <c r="A2" s="60">
        <f>COUNTA(A6:A73)</f>
        <v>68</v>
      </c>
      <c r="B2" s="60">
        <f t="shared" ref="B2:G2" si="0">COUNTA(B6:B73)</f>
        <v>68</v>
      </c>
      <c r="C2" s="60">
        <f t="shared" si="0"/>
        <v>68</v>
      </c>
      <c r="D2" s="60">
        <f t="shared" si="0"/>
        <v>68</v>
      </c>
      <c r="E2" s="60">
        <f t="shared" si="0"/>
        <v>68</v>
      </c>
      <c r="F2" s="60">
        <f t="shared" si="0"/>
        <v>68</v>
      </c>
      <c r="G2" s="60">
        <f t="shared" si="0"/>
        <v>2</v>
      </c>
      <c r="H2" s="87" t="s">
        <v>225</v>
      </c>
    </row>
    <row r="3" ht="41" customHeight="1" spans="1:7" s="9" customFormat="1" x14ac:dyDescent="0.25">
      <c r="A3" s="88" t="s">
        <v>226</v>
      </c>
      <c r="B3" s="89" t="s">
        <v>200</v>
      </c>
      <c r="C3" s="89" t="s">
        <v>201</v>
      </c>
      <c r="D3" s="89" t="s">
        <v>202</v>
      </c>
      <c r="E3" s="89" t="s">
        <v>203</v>
      </c>
      <c r="F3" s="89" t="s">
        <v>204</v>
      </c>
      <c r="G3" s="89" t="s">
        <v>208</v>
      </c>
    </row>
  </sheetData>
  <autoFilter ref="A3:F75"/>
  <mergeCells count="1">
    <mergeCell ref="A1:G1"/>
  </mergeCells>
  <pageMargins left="0.25" right="0.25" top="0.75" bottom="0.75" header="0.3" footer="0.3"/>
  <pageSetup paperSize="9" orientation="portrait" horizontalDpi="4294967295" verticalDpi="4294967295" scale="31" fitToWidth="1" fitToHeight="2" firstPageNumber="1" useFirstPageNumber="1" copies="1"/>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
  <sheetViews>
    <sheetView workbookViewId="0" zoomScale="20" zoomScaleNormal="20">
      <selection activeCell="H31" sqref="H31"/>
    </sheetView>
  </sheetViews>
  <sheetFormatPr defaultRowHeight="37" outlineLevelRow="0" outlineLevelCol="0" x14ac:dyDescent="0" defaultColWidth="11" customHeight="1"/>
  <cols>
    <col min="1" max="1" width="13.5" style="75" customWidth="1"/>
    <col min="2" max="2" width="94.33203125" style="75" customWidth="1"/>
    <col min="3" max="3" width="122.6640625" style="75" customWidth="1"/>
    <col min="4" max="4" width="81.83203125" style="75" customWidth="1"/>
    <col min="5" max="5" width="63.1640625" style="75" customWidth="1"/>
    <col min="6" max="6" width="70.6640625" style="75" customWidth="1"/>
    <col min="7" max="7" width="86" style="75" customWidth="1"/>
    <col min="8" max="8" width="58.6640625" style="75" customWidth="1"/>
    <col min="9" max="9" width="73.1640625" style="75" customWidth="1"/>
    <col min="10" max="10" width="93.1640625" style="75" customWidth="1"/>
    <col min="11" max="11" width="78.5" style="75" customWidth="1"/>
    <col min="12" max="12" width="44" style="75" customWidth="1"/>
    <col min="13" max="13" width="97.5" style="75" customWidth="1"/>
    <col min="14" max="14" width="40" style="75" customWidth="1"/>
    <col min="15" max="15" width="11" style="75" customWidth="1"/>
    <col min="16" max="16" width="30.6640625" style="75" customWidth="1"/>
    <col min="17" max="16384" width="11" style="75" customWidth="1"/>
  </cols>
  <sheetData>
    <row r="1" ht="161" customHeight="1" spans="1:17" x14ac:dyDescent="0.25">
      <c r="A1" s="76" t="s">
        <v>223</v>
      </c>
      <c r="B1" s="76"/>
      <c r="C1" s="76"/>
      <c r="D1" s="76"/>
      <c r="E1" s="76"/>
      <c r="F1" s="76"/>
      <c r="G1" s="76"/>
      <c r="H1" s="76"/>
      <c r="I1" s="76"/>
      <c r="J1" s="76"/>
      <c r="K1" s="76"/>
      <c r="L1" s="76"/>
      <c r="M1" s="76"/>
      <c r="N1" s="77"/>
      <c r="O1" s="77"/>
      <c r="P1" s="77"/>
      <c r="Q1" s="77"/>
    </row>
    <row r="2" ht="147" customHeight="1" spans="1:17" x14ac:dyDescent="0.25">
      <c r="A2" s="78">
        <f>COUNTA(B2:M2)</f>
        <v>12</v>
      </c>
      <c r="B2" s="79" t="s">
        <v>211</v>
      </c>
      <c r="C2" s="79" t="s">
        <v>212</v>
      </c>
      <c r="D2" s="79" t="s">
        <v>213</v>
      </c>
      <c r="E2" s="79" t="s">
        <v>214</v>
      </c>
      <c r="F2" s="79" t="s">
        <v>215</v>
      </c>
      <c r="G2" s="79" t="s">
        <v>216</v>
      </c>
      <c r="H2" s="79" t="s">
        <v>217</v>
      </c>
      <c r="I2" s="79" t="s">
        <v>218</v>
      </c>
      <c r="J2" s="79" t="s">
        <v>219</v>
      </c>
      <c r="K2" s="79" t="s">
        <v>220</v>
      </c>
      <c r="L2" s="79" t="s">
        <v>221</v>
      </c>
      <c r="M2" s="79" t="s">
        <v>222</v>
      </c>
      <c r="N2" s="80">
        <v>46069</v>
      </c>
      <c r="O2" s="77"/>
      <c r="P2" s="77"/>
      <c r="Q2" s="77"/>
    </row>
    <row r="3" ht="41" customHeight="1" spans="1:17" s="81" customFormat="1" x14ac:dyDescent="0.25">
      <c r="A3" s="82"/>
      <c r="B3" s="83">
        <f>COUNTA(B4:B35)</f>
        <v>8</v>
      </c>
      <c r="C3" s="83">
        <f>COUNTA(C4:C35)</f>
        <v>10</v>
      </c>
      <c r="D3" s="83">
        <f>COUNTA(D4:D7)</f>
        <v>2</v>
      </c>
      <c r="E3" s="83">
        <f>COUNTA(E4:E15)</f>
        <v>2</v>
      </c>
      <c r="F3" s="83">
        <f t="shared" ref="F3:M3" si="0">COUNTA(F4:F35)</f>
        <v>2</v>
      </c>
      <c r="G3" s="83">
        <f>COUNTA(G4:G34)</f>
        <v>11</v>
      </c>
      <c r="H3" s="83">
        <f>COUNTA(H4:H33)</f>
        <v>4</v>
      </c>
      <c r="I3" s="83">
        <f>COUNTA(I4:I34)</f>
        <v>7</v>
      </c>
      <c r="J3" s="83">
        <f>COUNTA(J4:J13)</f>
        <v>6</v>
      </c>
      <c r="K3" s="83">
        <f>COUNTA(K4:K17)</f>
        <v>14</v>
      </c>
      <c r="L3" s="83">
        <f t="shared" si="0"/>
        <v>2</v>
      </c>
      <c r="M3" s="83">
        <f t="shared" si="0"/>
        <v>10</v>
      </c>
      <c r="N3" s="84">
        <f>SUM(B3:M3)</f>
        <v>78</v>
      </c>
      <c r="O3" s="82"/>
      <c r="P3" s="82"/>
      <c r="Q3" s="82"/>
    </row>
  </sheetData>
  <mergeCells count="1">
    <mergeCell ref="A1:M1"/>
  </mergeCells>
  <pageMargins left="0.25" right="0.25" top="0.75" bottom="0.75" header="0.3" footer="0.3"/>
  <pageSetup paperSize="9" orientation="landscape" horizontalDpi="0" verticalDpi="0" scale="13" fitToWidth="1" fitToHeight="1" firstPageNumber="1" useFirstPageNumber="1" copies="1"/>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93"/>
  <sheetViews>
    <sheetView workbookViewId="0" zoomScale="90" zoomScaleNormal="90">
      <selection activeCell="A60" sqref="A60"/>
    </sheetView>
  </sheetViews>
  <sheetFormatPr defaultRowHeight="16" outlineLevelRow="0" outlineLevelCol="0" x14ac:dyDescent="0" customHeight="1"/>
  <cols>
    <col min="1" max="1" width="44.5" customWidth="1"/>
    <col min="2" max="2" width="37" customWidth="1"/>
    <col min="3" max="3" width="17.33203125" customWidth="1"/>
    <col min="4" max="4" width="42.83203125" customWidth="1"/>
    <col min="5" max="5" width="145.33203125" customWidth="1"/>
    <col min="6" max="6" width="79.33203125" customWidth="1"/>
  </cols>
  <sheetData>
    <row r="2" ht="30" customHeight="1" spans="1:5" x14ac:dyDescent="0.25">
      <c r="A2" s="95" t="s">
        <v>230</v>
      </c>
      <c r="E2" s="96" t="s">
        <v>231</v>
      </c>
    </row>
    <row r="3" ht="26" customHeight="1" spans="1:5" x14ac:dyDescent="0.25">
      <c r="A3" s="97" t="s">
        <v>232</v>
      </c>
      <c r="B3" s="98"/>
      <c r="C3" s="59"/>
      <c r="D3" s="97" t="s">
        <v>233</v>
      </c>
      <c r="E3" s="98"/>
    </row>
    <row r="4" ht="27" customHeight="1" spans="1:5" x14ac:dyDescent="0.25">
      <c r="A4" s="99">
        <f>COUNTA(A6:A66)</f>
        <v>60</v>
      </c>
      <c r="B4" s="100"/>
      <c r="C4" s="59"/>
      <c r="D4" s="99">
        <f>COUNTA(D6:D75)</f>
        <v>70</v>
      </c>
      <c r="E4" s="100"/>
    </row>
    <row r="5" ht="27" customHeight="1" spans="1:5" x14ac:dyDescent="0.25">
      <c r="A5" s="101" t="s">
        <v>234</v>
      </c>
      <c r="B5" s="102" t="s">
        <v>235</v>
      </c>
      <c r="C5" s="59"/>
      <c r="D5" s="101" t="s">
        <v>236</v>
      </c>
      <c r="E5" s="102" t="s">
        <v>235</v>
      </c>
    </row>
    <row r="6" ht="35" customHeight="1" spans="1:7" s="103" customFormat="1" x14ac:dyDescent="0.25">
      <c r="A6" s="104" t="s">
        <v>237</v>
      </c>
      <c r="B6" s="105"/>
      <c r="C6" s="106"/>
      <c r="D6" s="104" t="s">
        <v>237</v>
      </c>
      <c r="E6" s="107"/>
      <c r="F6" s="108" t="s">
        <v>238</v>
      </c>
      <c r="G6" s="103">
        <v>29</v>
      </c>
    </row>
    <row r="7" ht="35" customHeight="1" spans="1:5" s="103" customFormat="1" x14ac:dyDescent="0.25">
      <c r="A7" s="109" t="s">
        <v>239</v>
      </c>
      <c r="B7" s="110"/>
      <c r="C7" s="106"/>
      <c r="D7" s="109" t="s">
        <v>239</v>
      </c>
      <c r="E7" s="110" t="s">
        <v>240</v>
      </c>
    </row>
    <row r="8" ht="35" customHeight="1" spans="1:5" s="103" customFormat="1" x14ac:dyDescent="0.25">
      <c r="A8" s="109" t="s">
        <v>241</v>
      </c>
      <c r="B8" s="110"/>
      <c r="C8" s="106"/>
      <c r="D8" s="109" t="s">
        <v>241</v>
      </c>
      <c r="E8" s="110" t="s">
        <v>242</v>
      </c>
    </row>
    <row r="9" ht="35" customHeight="1" spans="1:5" s="103" customFormat="1" x14ac:dyDescent="0.25">
      <c r="A9" s="109" t="s">
        <v>35</v>
      </c>
      <c r="B9" s="110"/>
      <c r="C9" s="106"/>
      <c r="D9" s="109" t="s">
        <v>35</v>
      </c>
      <c r="E9" s="110" t="s">
        <v>243</v>
      </c>
    </row>
    <row r="10" ht="35" customHeight="1" spans="1:5" s="103" customFormat="1" x14ac:dyDescent="0.25">
      <c r="A10" s="109" t="s">
        <v>45</v>
      </c>
      <c r="B10" s="110"/>
      <c r="C10" s="106"/>
      <c r="D10" s="109" t="s">
        <v>45</v>
      </c>
      <c r="E10" s="110" t="s">
        <v>243</v>
      </c>
    </row>
    <row r="11" ht="35" customHeight="1" spans="1:5" s="103" customFormat="1" x14ac:dyDescent="0.25">
      <c r="A11" s="109" t="s">
        <v>52</v>
      </c>
      <c r="B11" s="110"/>
      <c r="C11" s="106"/>
      <c r="D11" s="109" t="s">
        <v>52</v>
      </c>
      <c r="E11" s="110" t="s">
        <v>243</v>
      </c>
    </row>
    <row r="12" ht="80" customHeight="1" spans="1:5" s="103" customFormat="1" x14ac:dyDescent="0.25">
      <c r="A12" s="111" t="s">
        <v>244</v>
      </c>
      <c r="B12" s="112" t="s">
        <v>245</v>
      </c>
      <c r="C12" s="106"/>
      <c r="D12" s="111" t="s">
        <v>244</v>
      </c>
      <c r="E12" s="112" t="s">
        <v>246</v>
      </c>
    </row>
    <row r="13" ht="35" customHeight="1" spans="1:5" s="103" customFormat="1" x14ac:dyDescent="0.25">
      <c r="A13" s="109" t="s">
        <v>247</v>
      </c>
      <c r="B13" s="110"/>
      <c r="C13" s="106"/>
      <c r="D13" s="109" t="s">
        <v>248</v>
      </c>
      <c r="E13" s="113" t="s">
        <v>243</v>
      </c>
    </row>
    <row r="14" ht="100" customHeight="1" spans="1:5" s="103" customFormat="1" x14ac:dyDescent="0.25">
      <c r="A14" s="114" t="s">
        <v>249</v>
      </c>
      <c r="B14" s="110"/>
      <c r="C14" s="106"/>
      <c r="D14" s="115" t="s">
        <v>250</v>
      </c>
      <c r="E14" s="116" t="s">
        <v>251</v>
      </c>
    </row>
    <row r="15" ht="85" customHeight="1" spans="1:5" s="103" customFormat="1" x14ac:dyDescent="0.25">
      <c r="A15" s="117"/>
      <c r="B15" s="110" t="s">
        <v>252</v>
      </c>
      <c r="C15" s="106"/>
      <c r="D15" s="118" t="s">
        <v>253</v>
      </c>
      <c r="E15" s="116" t="s">
        <v>254</v>
      </c>
    </row>
    <row r="16" ht="63" customHeight="1" spans="1:5" s="103" customFormat="1" x14ac:dyDescent="0.25">
      <c r="A16" s="109" t="s">
        <v>255</v>
      </c>
      <c r="B16" s="113" t="s">
        <v>256</v>
      </c>
      <c r="C16" s="106"/>
      <c r="D16" s="119" t="s">
        <v>255</v>
      </c>
      <c r="E16" s="113" t="s">
        <v>256</v>
      </c>
    </row>
    <row r="17" ht="35" customHeight="1" spans="1:5" s="103" customFormat="1" x14ac:dyDescent="0.25">
      <c r="A17" s="109" t="s">
        <v>257</v>
      </c>
      <c r="B17" s="116" t="s">
        <v>258</v>
      </c>
      <c r="C17" s="62"/>
      <c r="D17" s="109" t="s">
        <v>257</v>
      </c>
      <c r="E17" s="116" t="s">
        <v>259</v>
      </c>
    </row>
    <row r="18" ht="35" customHeight="1" spans="1:5" s="103" customFormat="1" x14ac:dyDescent="0.25">
      <c r="A18" s="109" t="s">
        <v>78</v>
      </c>
      <c r="B18" s="113" t="s">
        <v>256</v>
      </c>
      <c r="C18" s="62"/>
      <c r="D18" s="119" t="s">
        <v>78</v>
      </c>
      <c r="E18" s="113" t="s">
        <v>256</v>
      </c>
    </row>
    <row r="19" spans="1:5" s="103" customFormat="1" x14ac:dyDescent="0.25">
      <c r="A19" s="120" t="s">
        <v>84</v>
      </c>
      <c r="B19" s="121" t="s">
        <v>260</v>
      </c>
      <c r="C19" s="62"/>
      <c r="D19" s="120" t="s">
        <v>84</v>
      </c>
      <c r="E19" s="121">
        <v>45996</v>
      </c>
    </row>
    <row r="20" ht="68" customHeight="1" spans="1:5" s="103" customFormat="1" x14ac:dyDescent="0.25">
      <c r="A20" s="119" t="s">
        <v>261</v>
      </c>
      <c r="B20" s="116" t="s">
        <v>262</v>
      </c>
      <c r="C20" s="62"/>
      <c r="D20" s="119" t="s">
        <v>263</v>
      </c>
      <c r="E20" s="113" t="s">
        <v>256</v>
      </c>
    </row>
    <row r="21" ht="68" customHeight="1" spans="1:5" s="103" customFormat="1" x14ac:dyDescent="0.25">
      <c r="A21" s="122" t="s">
        <v>264</v>
      </c>
      <c r="B21" s="116" t="s">
        <v>265</v>
      </c>
      <c r="C21" s="62"/>
      <c r="D21" s="122" t="s">
        <v>266</v>
      </c>
      <c r="E21" s="116" t="s">
        <v>267</v>
      </c>
    </row>
    <row r="22" ht="51" customHeight="1" spans="1:5" s="103" customFormat="1" x14ac:dyDescent="0.25">
      <c r="A22" s="120" t="s">
        <v>268</v>
      </c>
      <c r="B22" s="116" t="s">
        <v>269</v>
      </c>
      <c r="C22" s="62"/>
      <c r="D22" s="120" t="s">
        <v>268</v>
      </c>
      <c r="E22" s="116" t="s">
        <v>270</v>
      </c>
    </row>
    <row r="23" ht="35" customHeight="1" spans="1:5" s="103" customFormat="1" x14ac:dyDescent="0.25">
      <c r="A23" s="119" t="s">
        <v>271</v>
      </c>
      <c r="B23" s="116"/>
      <c r="C23" s="62"/>
      <c r="D23" s="119" t="s">
        <v>272</v>
      </c>
      <c r="E23" s="113"/>
    </row>
    <row r="24" ht="35" customHeight="1" spans="1:5" s="103" customFormat="1" x14ac:dyDescent="0.25">
      <c r="A24" s="119" t="s">
        <v>105</v>
      </c>
      <c r="B24" s="113"/>
      <c r="C24" s="62"/>
      <c r="D24" s="119" t="s">
        <v>82</v>
      </c>
      <c r="E24" s="113"/>
    </row>
    <row r="25" ht="35" customHeight="1" spans="1:5" s="103" customFormat="1" x14ac:dyDescent="0.25">
      <c r="A25" s="119" t="s">
        <v>273</v>
      </c>
      <c r="B25" s="113"/>
      <c r="C25" s="62"/>
      <c r="D25" s="119" t="s">
        <v>274</v>
      </c>
      <c r="E25" s="113"/>
    </row>
    <row r="26" ht="35" customHeight="1" spans="1:5" s="103" customFormat="1" x14ac:dyDescent="0.25">
      <c r="A26" s="119" t="s">
        <v>275</v>
      </c>
      <c r="B26" s="113"/>
      <c r="C26" s="62"/>
      <c r="D26" s="119" t="s">
        <v>276</v>
      </c>
      <c r="E26" s="113"/>
    </row>
    <row r="27" ht="85" customHeight="1" spans="1:5" s="103" customFormat="1" x14ac:dyDescent="0.25">
      <c r="A27" s="120" t="s">
        <v>277</v>
      </c>
      <c r="B27" s="116" t="s">
        <v>269</v>
      </c>
      <c r="C27" s="62"/>
      <c r="D27" s="120" t="s">
        <v>277</v>
      </c>
      <c r="E27" s="116" t="s">
        <v>278</v>
      </c>
    </row>
    <row r="28" ht="35" customHeight="1" spans="1:5" s="103" customFormat="1" x14ac:dyDescent="0.25">
      <c r="A28" s="119" t="s">
        <v>279</v>
      </c>
      <c r="B28" s="113"/>
      <c r="C28" s="62"/>
      <c r="D28" s="119" t="s">
        <v>280</v>
      </c>
      <c r="E28" s="113"/>
    </row>
    <row r="29" ht="35" customHeight="1" spans="1:5" s="103" customFormat="1" x14ac:dyDescent="0.25">
      <c r="A29" s="120" t="s">
        <v>281</v>
      </c>
      <c r="B29" s="113" t="s">
        <v>282</v>
      </c>
      <c r="C29" s="62"/>
      <c r="D29" s="120" t="s">
        <v>283</v>
      </c>
      <c r="E29" s="113" t="s">
        <v>284</v>
      </c>
    </row>
    <row r="30" ht="35" customHeight="1" spans="1:5" s="103" customFormat="1" x14ac:dyDescent="0.25">
      <c r="A30" s="120" t="s">
        <v>127</v>
      </c>
      <c r="B30" s="116" t="s">
        <v>285</v>
      </c>
      <c r="C30" s="62"/>
      <c r="D30" s="120" t="s">
        <v>127</v>
      </c>
      <c r="E30" s="116" t="s">
        <v>286</v>
      </c>
    </row>
    <row r="31" ht="34" customHeight="1" spans="1:5" s="103" customFormat="1" x14ac:dyDescent="0.25">
      <c r="A31" s="123" t="s">
        <v>103</v>
      </c>
      <c r="B31" s="113"/>
      <c r="C31" s="62"/>
      <c r="D31" s="124" t="s">
        <v>287</v>
      </c>
      <c r="E31" s="116"/>
    </row>
    <row r="32" ht="85" customHeight="1" spans="1:5" s="103" customFormat="1" x14ac:dyDescent="0.25">
      <c r="A32" s="120" t="s">
        <v>288</v>
      </c>
      <c r="B32" s="116" t="s">
        <v>285</v>
      </c>
      <c r="C32" s="62"/>
      <c r="D32" s="120" t="s">
        <v>288</v>
      </c>
      <c r="E32" s="116" t="s">
        <v>289</v>
      </c>
    </row>
    <row r="33" ht="68" customHeight="1" spans="1:5" s="103" customFormat="1" x14ac:dyDescent="0.25">
      <c r="A33" s="119" t="s">
        <v>290</v>
      </c>
      <c r="B33" s="116" t="s">
        <v>291</v>
      </c>
      <c r="C33" s="62"/>
      <c r="D33" s="119" t="s">
        <v>290</v>
      </c>
      <c r="E33" s="113"/>
    </row>
    <row r="34" ht="35" customHeight="1" spans="1:5" s="103" customFormat="1" x14ac:dyDescent="0.25">
      <c r="A34" s="119" t="s">
        <v>292</v>
      </c>
      <c r="B34" s="116"/>
      <c r="C34" s="62"/>
      <c r="D34" s="119" t="s">
        <v>292</v>
      </c>
      <c r="E34" s="113"/>
    </row>
    <row r="35" ht="35" customHeight="1" spans="1:5" s="103" customFormat="1" x14ac:dyDescent="0.25">
      <c r="A35" s="120" t="s">
        <v>293</v>
      </c>
      <c r="B35" s="116" t="s">
        <v>294</v>
      </c>
      <c r="C35" s="62"/>
      <c r="D35" s="120" t="s">
        <v>295</v>
      </c>
      <c r="E35" s="116" t="s">
        <v>296</v>
      </c>
    </row>
    <row r="36" ht="28" customHeight="1" spans="1:5" s="103" customFormat="1" x14ac:dyDescent="0.25">
      <c r="A36" s="119" t="s">
        <v>297</v>
      </c>
      <c r="B36" s="113"/>
      <c r="C36" s="62"/>
      <c r="D36" s="119" t="s">
        <v>297</v>
      </c>
      <c r="E36" s="113"/>
    </row>
    <row r="37" ht="35" customHeight="1" spans="1:5" s="103" customFormat="1" x14ac:dyDescent="0.25">
      <c r="A37" s="120" t="s">
        <v>298</v>
      </c>
      <c r="B37" s="113" t="s">
        <v>294</v>
      </c>
      <c r="C37" s="62"/>
      <c r="D37" s="120" t="s">
        <v>299</v>
      </c>
      <c r="E37" s="116" t="s">
        <v>300</v>
      </c>
    </row>
    <row r="38" ht="27" customHeight="1" spans="1:5" s="103" customFormat="1" x14ac:dyDescent="0.25">
      <c r="A38" s="119" t="s">
        <v>301</v>
      </c>
      <c r="B38" s="113"/>
      <c r="C38" s="62"/>
      <c r="D38" s="119" t="s">
        <v>301</v>
      </c>
      <c r="E38" s="113"/>
    </row>
    <row r="39" ht="35" customHeight="1" spans="1:5" s="103" customFormat="1" x14ac:dyDescent="0.25">
      <c r="A39" s="119" t="s">
        <v>302</v>
      </c>
      <c r="B39" s="113"/>
      <c r="C39" s="62"/>
      <c r="D39" s="119" t="s">
        <v>303</v>
      </c>
      <c r="E39" s="113"/>
    </row>
    <row r="40" ht="102" customHeight="1" spans="1:6" s="103" customFormat="1" x14ac:dyDescent="0.25">
      <c r="A40" s="119" t="s">
        <v>304</v>
      </c>
      <c r="B40" s="116" t="s">
        <v>305</v>
      </c>
      <c r="C40" s="62"/>
      <c r="D40" s="119" t="s">
        <v>304</v>
      </c>
      <c r="E40" s="116" t="s">
        <v>306</v>
      </c>
      <c r="F40" s="125" t="s">
        <v>307</v>
      </c>
    </row>
    <row r="41" ht="35" customHeight="1" spans="1:5" s="103" customFormat="1" x14ac:dyDescent="0.25">
      <c r="A41" s="120" t="s">
        <v>125</v>
      </c>
      <c r="B41" s="116" t="s">
        <v>285</v>
      </c>
      <c r="C41" s="62"/>
      <c r="D41" s="120" t="s">
        <v>125</v>
      </c>
      <c r="E41" s="116" t="s">
        <v>308</v>
      </c>
    </row>
    <row r="42" ht="35" customHeight="1" spans="1:5" s="103" customFormat="1" x14ac:dyDescent="0.25">
      <c r="A42" s="119" t="s">
        <v>309</v>
      </c>
      <c r="B42" s="113"/>
      <c r="C42" s="62"/>
      <c r="D42" s="119" t="s">
        <v>309</v>
      </c>
      <c r="E42" s="113"/>
    </row>
    <row r="43" ht="85" customHeight="1" spans="1:5" s="103" customFormat="1" x14ac:dyDescent="0.25">
      <c r="A43" s="122" t="s">
        <v>310</v>
      </c>
      <c r="B43" s="113"/>
      <c r="C43" s="62"/>
      <c r="D43" s="122" t="s">
        <v>310</v>
      </c>
      <c r="E43" s="116" t="s">
        <v>311</v>
      </c>
    </row>
    <row r="44" ht="35" customHeight="1" spans="1:5" s="103" customFormat="1" x14ac:dyDescent="0.25">
      <c r="A44" s="119" t="s">
        <v>312</v>
      </c>
      <c r="B44" s="113" t="s">
        <v>313</v>
      </c>
      <c r="C44" s="62"/>
      <c r="D44" s="119" t="s">
        <v>314</v>
      </c>
      <c r="E44" s="113" t="s">
        <v>313</v>
      </c>
    </row>
    <row r="45" ht="35" customHeight="1" spans="1:5" s="103" customFormat="1" x14ac:dyDescent="0.25">
      <c r="A45" s="119" t="s">
        <v>315</v>
      </c>
      <c r="B45" s="113"/>
      <c r="C45" s="62"/>
      <c r="D45" s="119" t="s">
        <v>161</v>
      </c>
      <c r="E45" s="113" t="s">
        <v>313</v>
      </c>
    </row>
    <row r="46" ht="153" customHeight="1" spans="1:5" s="103" customFormat="1" x14ac:dyDescent="0.25">
      <c r="A46" s="126" t="s">
        <v>316</v>
      </c>
      <c r="B46" s="127" t="s">
        <v>313</v>
      </c>
      <c r="C46" s="62"/>
      <c r="D46" s="128" t="s">
        <v>317</v>
      </c>
      <c r="E46" s="129" t="s">
        <v>318</v>
      </c>
    </row>
    <row r="47" ht="35" customHeight="1" spans="1:5" s="103" customFormat="1" x14ac:dyDescent="0.25">
      <c r="A47" s="119" t="s">
        <v>141</v>
      </c>
      <c r="B47" s="113" t="s">
        <v>313</v>
      </c>
      <c r="C47" s="62"/>
      <c r="D47" s="119" t="s">
        <v>141</v>
      </c>
      <c r="E47" s="113" t="s">
        <v>313</v>
      </c>
    </row>
    <row r="48" ht="35" customHeight="1" spans="1:5" s="103" customFormat="1" x14ac:dyDescent="0.25">
      <c r="A48" s="120" t="s">
        <v>166</v>
      </c>
      <c r="B48" s="113" t="s">
        <v>319</v>
      </c>
      <c r="C48" s="62"/>
      <c r="D48" s="120" t="s">
        <v>166</v>
      </c>
      <c r="E48" s="113" t="s">
        <v>319</v>
      </c>
    </row>
    <row r="49" ht="35" customHeight="1" spans="1:5" s="103" customFormat="1" x14ac:dyDescent="0.25">
      <c r="A49" s="119" t="s">
        <v>320</v>
      </c>
      <c r="B49" s="113"/>
      <c r="C49" s="62"/>
      <c r="D49" s="119" t="s">
        <v>320</v>
      </c>
      <c r="E49" s="113"/>
    </row>
    <row r="50" ht="35" customHeight="1" spans="1:5" s="103" customFormat="1" x14ac:dyDescent="0.25">
      <c r="A50" s="119" t="s">
        <v>321</v>
      </c>
      <c r="B50" s="113"/>
      <c r="C50" s="62"/>
      <c r="D50" s="119" t="s">
        <v>321</v>
      </c>
      <c r="E50" s="113"/>
    </row>
    <row r="51" ht="35" customHeight="1" spans="1:5" s="103" customFormat="1" x14ac:dyDescent="0.25">
      <c r="A51" s="119" t="s">
        <v>170</v>
      </c>
      <c r="B51" s="113"/>
      <c r="C51" s="62"/>
      <c r="D51" s="119" t="s">
        <v>170</v>
      </c>
      <c r="E51" s="113"/>
    </row>
    <row r="52" ht="35" customHeight="1" spans="1:5" s="103" customFormat="1" x14ac:dyDescent="0.25">
      <c r="A52" s="119" t="s">
        <v>148</v>
      </c>
      <c r="B52" s="113"/>
      <c r="C52" s="62"/>
      <c r="D52" s="119" t="s">
        <v>148</v>
      </c>
      <c r="E52" s="113"/>
    </row>
    <row r="53" ht="51" customHeight="1" spans="1:5" s="103" customFormat="1" x14ac:dyDescent="0.25">
      <c r="A53" s="128" t="s">
        <v>322</v>
      </c>
      <c r="B53" s="127"/>
      <c r="C53" s="62"/>
      <c r="D53" s="128" t="s">
        <v>323</v>
      </c>
      <c r="E53" s="129" t="s">
        <v>324</v>
      </c>
    </row>
    <row r="54" ht="35" customHeight="1" spans="1:5" s="103" customFormat="1" x14ac:dyDescent="0.25">
      <c r="A54" s="119" t="s">
        <v>325</v>
      </c>
      <c r="B54" s="113"/>
      <c r="C54" s="62"/>
      <c r="D54" s="128" t="s">
        <v>326</v>
      </c>
      <c r="E54" s="129" t="s">
        <v>327</v>
      </c>
    </row>
    <row r="55" ht="35" customHeight="1" spans="1:5" s="103" customFormat="1" x14ac:dyDescent="0.25">
      <c r="A55" s="122" t="s">
        <v>328</v>
      </c>
      <c r="B55" s="113"/>
      <c r="C55" s="62"/>
      <c r="D55" s="119" t="s">
        <v>325</v>
      </c>
      <c r="E55" s="113"/>
    </row>
    <row r="56" ht="35" customHeight="1" spans="1:5" s="103" customFormat="1" x14ac:dyDescent="0.25">
      <c r="A56" s="119" t="s">
        <v>180</v>
      </c>
      <c r="B56" s="113"/>
      <c r="C56" s="62"/>
      <c r="D56" s="124" t="s">
        <v>329</v>
      </c>
      <c r="E56" s="113"/>
    </row>
    <row r="57" spans="1:5" s="103" customFormat="1" x14ac:dyDescent="0.25">
      <c r="A57" s="119" t="s">
        <v>330</v>
      </c>
      <c r="B57" s="113"/>
      <c r="C57" s="62"/>
      <c r="D57" s="124" t="s">
        <v>331</v>
      </c>
      <c r="E57" s="113"/>
    </row>
    <row r="58" ht="35" customHeight="1" spans="1:5" s="103" customFormat="1" x14ac:dyDescent="0.25">
      <c r="A58" s="119" t="s">
        <v>332</v>
      </c>
      <c r="B58" s="113"/>
      <c r="C58" s="62"/>
      <c r="D58" s="124" t="s">
        <v>179</v>
      </c>
      <c r="E58" s="113"/>
    </row>
    <row r="59" ht="35" customHeight="1" spans="1:5" s="103" customFormat="1" x14ac:dyDescent="0.25">
      <c r="A59" s="122" t="s">
        <v>333</v>
      </c>
      <c r="B59" s="113"/>
      <c r="C59" s="62"/>
      <c r="D59" s="124" t="s">
        <v>334</v>
      </c>
      <c r="E59" s="113"/>
    </row>
    <row r="60" ht="35" customHeight="1" spans="1:5" s="103" customFormat="1" x14ac:dyDescent="0.25">
      <c r="A60" s="119" t="s">
        <v>335</v>
      </c>
      <c r="B60" s="113"/>
      <c r="C60" s="62"/>
      <c r="D60" s="119" t="s">
        <v>328</v>
      </c>
      <c r="E60" s="113"/>
    </row>
    <row r="61" ht="35" customHeight="1" spans="1:5" s="103" customFormat="1" x14ac:dyDescent="0.25">
      <c r="A61" s="119" t="s">
        <v>336</v>
      </c>
      <c r="B61" s="113"/>
      <c r="C61" s="62"/>
      <c r="D61" s="124" t="s">
        <v>147</v>
      </c>
      <c r="E61" s="113"/>
    </row>
    <row r="62" ht="35" customHeight="1" spans="1:5" s="103" customFormat="1" x14ac:dyDescent="0.25">
      <c r="A62" s="119" t="s">
        <v>337</v>
      </c>
      <c r="B62" s="113"/>
      <c r="C62" s="62"/>
      <c r="D62" s="119" t="s">
        <v>180</v>
      </c>
      <c r="E62" s="113"/>
    </row>
    <row r="63" ht="35" customHeight="1" spans="1:5" s="103" customFormat="1" x14ac:dyDescent="0.25">
      <c r="A63" s="119" t="s">
        <v>338</v>
      </c>
      <c r="B63" s="113"/>
      <c r="C63" s="62"/>
      <c r="D63" s="124" t="s">
        <v>339</v>
      </c>
      <c r="E63" s="127" t="s">
        <v>340</v>
      </c>
    </row>
    <row r="64" ht="35" customHeight="1" spans="1:5" s="103" customFormat="1" x14ac:dyDescent="0.25">
      <c r="A64" s="119" t="s">
        <v>341</v>
      </c>
      <c r="B64" s="113"/>
      <c r="C64" s="62"/>
      <c r="D64" s="119" t="s">
        <v>330</v>
      </c>
      <c r="E64" s="113"/>
    </row>
    <row r="65" ht="35" customHeight="1" spans="1:5" s="103" customFormat="1" x14ac:dyDescent="0.25">
      <c r="A65" s="119" t="s">
        <v>190</v>
      </c>
      <c r="B65" s="113"/>
      <c r="C65" s="62"/>
      <c r="D65" s="119" t="s">
        <v>332</v>
      </c>
      <c r="E65" s="113"/>
    </row>
    <row r="66" ht="35" customHeight="1" spans="1:5" s="103" customFormat="1" x14ac:dyDescent="0.25">
      <c r="A66" s="130" t="s">
        <v>194</v>
      </c>
      <c r="B66" s="131"/>
      <c r="C66" s="62"/>
      <c r="D66" s="132" t="s">
        <v>342</v>
      </c>
      <c r="E66" s="113" t="s">
        <v>343</v>
      </c>
    </row>
    <row r="67" ht="35" customHeight="1" spans="1:5" s="103" customFormat="1" x14ac:dyDescent="0.25">
      <c r="A67" s="62"/>
      <c r="B67" s="62"/>
      <c r="C67" s="62"/>
      <c r="D67" s="119" t="s">
        <v>344</v>
      </c>
      <c r="E67" s="113"/>
    </row>
    <row r="68" ht="35" customHeight="1" spans="1:5" s="103" customFormat="1" x14ac:dyDescent="0.25">
      <c r="A68" s="62" t="s">
        <v>345</v>
      </c>
      <c r="B68" s="62"/>
      <c r="C68" s="62"/>
      <c r="D68" s="119" t="s">
        <v>337</v>
      </c>
      <c r="E68" s="113"/>
    </row>
    <row r="69" ht="35" customHeight="1" spans="1:5" s="103" customFormat="1" x14ac:dyDescent="0.25">
      <c r="A69" s="62"/>
      <c r="B69" s="62"/>
      <c r="C69" s="62"/>
      <c r="D69" s="119" t="s">
        <v>338</v>
      </c>
      <c r="E69" s="113"/>
    </row>
    <row r="70" ht="35" customHeight="1" spans="1:5" s="103" customFormat="1" x14ac:dyDescent="0.25">
      <c r="A70" s="62"/>
      <c r="B70" s="62"/>
      <c r="C70" s="62"/>
      <c r="D70" s="119" t="s">
        <v>341</v>
      </c>
      <c r="E70" s="113"/>
    </row>
    <row r="71" ht="35" customHeight="1" spans="1:5" s="103" customFormat="1" x14ac:dyDescent="0.25">
      <c r="A71" s="62"/>
      <c r="B71" s="62"/>
      <c r="C71" s="62"/>
      <c r="D71" s="119" t="s">
        <v>190</v>
      </c>
      <c r="E71" s="113"/>
    </row>
    <row r="72" ht="35" customHeight="1" spans="1:5" s="103" customFormat="1" x14ac:dyDescent="0.25">
      <c r="A72" s="62"/>
      <c r="B72" s="62"/>
      <c r="C72" s="62"/>
      <c r="D72" s="119" t="s">
        <v>191</v>
      </c>
      <c r="E72" s="113"/>
    </row>
    <row r="73" ht="35" customHeight="1" spans="1:5" s="103" customFormat="1" x14ac:dyDescent="0.25">
      <c r="A73" s="62"/>
      <c r="B73" s="62"/>
      <c r="C73" s="62"/>
      <c r="D73" s="124" t="s">
        <v>165</v>
      </c>
      <c r="E73" s="113"/>
    </row>
    <row r="74" ht="35" customHeight="1" spans="1:5" s="103" customFormat="1" x14ac:dyDescent="0.25">
      <c r="A74" s="62"/>
      <c r="B74" s="62"/>
      <c r="C74" s="62"/>
      <c r="D74" s="124" t="s">
        <v>346</v>
      </c>
      <c r="E74" s="113"/>
    </row>
    <row r="75" ht="35" customHeight="1" spans="1:5" s="103" customFormat="1" x14ac:dyDescent="0.25">
      <c r="A75" s="62"/>
      <c r="B75" s="62"/>
      <c r="C75" s="62"/>
      <c r="D75" s="130" t="s">
        <v>347</v>
      </c>
      <c r="E75" s="131"/>
    </row>
    <row r="76" ht="35" customHeight="1" spans="1:3" s="103" customFormat="1" x14ac:dyDescent="0.25">
      <c r="A76" s="62"/>
      <c r="B76" s="62"/>
      <c r="C76" s="62"/>
    </row>
    <row r="77" ht="35" customHeight="1" spans="1:4" s="103" customFormat="1" x14ac:dyDescent="0.25">
      <c r="A77" s="62"/>
      <c r="B77" s="62"/>
      <c r="C77" s="62"/>
      <c r="D77" s="133"/>
    </row>
    <row r="78" ht="35" customHeight="1" spans="1:3" s="103" customFormat="1" x14ac:dyDescent="0.25">
      <c r="A78" s="62"/>
      <c r="B78" s="62"/>
      <c r="C78" s="62"/>
    </row>
    <row r="79" ht="35" customHeight="1" spans="1:3" s="103" customFormat="1" x14ac:dyDescent="0.25">
      <c r="A79" s="62"/>
      <c r="B79" s="62"/>
      <c r="C79" s="62"/>
    </row>
    <row r="80" ht="35" customHeight="1" spans="1:3" s="103" customFormat="1" x14ac:dyDescent="0.25">
      <c r="A80" s="62"/>
      <c r="B80" s="62"/>
      <c r="C80" s="62"/>
    </row>
    <row r="81" ht="25" customHeight="1" spans="1:2" x14ac:dyDescent="0.25">
      <c r="A81" s="62"/>
      <c r="B81" s="62"/>
    </row>
    <row r="82" ht="25" customHeight="1" spans="1:2" x14ac:dyDescent="0.25">
      <c r="A82" s="62"/>
      <c r="B82" s="62"/>
    </row>
    <row r="83" ht="25" customHeight="1" spans="1:2" x14ac:dyDescent="0.25">
      <c r="A83" s="62"/>
      <c r="B83" s="62"/>
    </row>
    <row r="84" spans="1:2" x14ac:dyDescent="0.25">
      <c r="A84" s="62"/>
      <c r="B84" s="62"/>
    </row>
    <row r="85" spans="1:2" x14ac:dyDescent="0.25">
      <c r="A85" s="62"/>
      <c r="B85" s="62"/>
    </row>
    <row r="86" spans="1:2" x14ac:dyDescent="0.25">
      <c r="A86" s="62"/>
      <c r="B86" s="62"/>
    </row>
    <row r="87" spans="1:2" x14ac:dyDescent="0.25">
      <c r="A87" s="62"/>
      <c r="B87" s="62"/>
    </row>
    <row r="88" spans="1:2" x14ac:dyDescent="0.25">
      <c r="A88" s="62"/>
      <c r="B88" s="62"/>
    </row>
    <row r="89" spans="1:2" x14ac:dyDescent="0.25">
      <c r="A89" s="62"/>
      <c r="B89" s="62"/>
    </row>
    <row r="90" spans="1:2" x14ac:dyDescent="0.25">
      <c r="A90" s="62"/>
      <c r="B90" s="62"/>
    </row>
    <row r="91" spans="1:2" x14ac:dyDescent="0.25">
      <c r="A91" s="62"/>
      <c r="B91" s="62"/>
    </row>
    <row r="92" spans="1:2" x14ac:dyDescent="0.25">
      <c r="A92" s="90"/>
      <c r="B92" s="90"/>
    </row>
    <row r="93" spans="1:2" x14ac:dyDescent="0.25">
      <c r="A93" s="90"/>
      <c r="B93" s="90"/>
    </row>
  </sheetData>
  <mergeCells count="4">
    <mergeCell ref="A3:B3"/>
    <mergeCell ref="D3:E3"/>
    <mergeCell ref="A4:B4"/>
    <mergeCell ref="D4:E4"/>
  </mergeCells>
  <pageMargins left="0.25" right="0.25" top="0.75" bottom="0.75" header="0.3" footer="0.3"/>
  <pageSetup paperSize="9" orientation="landscape" horizontalDpi="0" verticalDpi="0" scale="48"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GLOBAL</vt:lpstr>
      <vt:lpstr>Artisan·e·s</vt:lpstr>
      <vt:lpstr>Cartographie artisans</vt:lpstr>
      <vt:lpstr>Cartographie métiers</vt:lpstr>
      <vt:lpstr>Entreprises formatrices</vt:lpstr>
      <vt:lpstr>Métiers</vt:lpstr>
      <vt:lpstr>Métiers v2</vt:lpstr>
      <vt:lpstr>Événements</vt:lpstr>
      <vt:lpstr>Communes</vt:lpstr>
      <vt:lpstr>Écoles Formatrices</vt:lpstr>
      <vt:lpstr>Institutions culturelles</vt:lpstr>
      <vt:lpstr>Partenaire</vt:lpstr>
      <vt:lpstr>METIERS&amp;FORMATIONS</vt:lpstr>
      <vt:lpstr>INMA</vt:lpstr>
      <vt:lpstr>ASMA</vt:lpstr>
      <vt:lpstr>Capsules</vt:lpstr>
      <vt:lpstr>Cartographie vidéo</vt:lpstr>
      <vt:lpstr>RECAP</vt:lpstr>
      <vt:lpstr>Mailing artisans</vt:lpstr>
      <vt:lpstr>GLOBAL au 30.03.23</vt:lpstr>
    </vt:vector>
  </TitlesOfParts>
  <Company>Métiers d'Art Genève</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Métiers d'Art Genève</dc:creator>
  <dc:title/>
  <dc:subject/>
  <dc:description/>
  <cp:keywords/>
  <cp:category/>
  <cp:lastModifiedBy>Métiers d'Art Genève</cp:lastModifiedBy>
  <cp:lastPrinted>2026-06-16T09:03:10Z</cp:lastPrinted>
  <cp:revision>2</cp:revision>
  <cp:contentStatus/>
  <dcterms:created xsi:type="dcterms:W3CDTF">2021-02-24T07:32:32Z</dcterms:created>
  <dcterms:modified xsi:type="dcterms:W3CDTF">2026-09-25T15:47:23Z</dcterms:modified>
</cp:coreProperties>
</file>